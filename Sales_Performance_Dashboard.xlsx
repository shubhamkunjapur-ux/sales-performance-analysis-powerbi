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4B53D432-87C2-4E57-B5E6-B22A95D5E8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 Data" sheetId="1" r:id="rId1"/>
    <sheet name="KPI Summary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1" i="2" l="1"/>
  <c r="D61" i="2"/>
  <c r="E60" i="2"/>
  <c r="D60" i="2"/>
  <c r="E59" i="2"/>
  <c r="D59" i="2"/>
  <c r="E58" i="2"/>
  <c r="D58" i="2"/>
  <c r="E57" i="2"/>
  <c r="D57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2" i="2"/>
  <c r="E22" i="2" s="1"/>
  <c r="C22" i="2"/>
  <c r="D21" i="2"/>
  <c r="E21" i="2" s="1"/>
  <c r="C21" i="2"/>
  <c r="D20" i="2"/>
  <c r="E20" i="2" s="1"/>
  <c r="C20" i="2"/>
  <c r="D19" i="2"/>
  <c r="E19" i="2" s="1"/>
  <c r="C19" i="2"/>
  <c r="D14" i="2"/>
  <c r="E14" i="2" s="1"/>
  <c r="C14" i="2"/>
  <c r="D13" i="2"/>
  <c r="E13" i="2" s="1"/>
  <c r="C13" i="2"/>
  <c r="D12" i="2"/>
  <c r="E12" i="2" s="1"/>
  <c r="C12" i="2"/>
  <c r="D11" i="2"/>
  <c r="E11" i="2" s="1"/>
  <c r="C11" i="2"/>
  <c r="K6" i="2"/>
  <c r="H6" i="2"/>
  <c r="E6" i="2"/>
  <c r="B6" i="2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<sst xmlns="http://schemas.openxmlformats.org/spreadsheetml/2006/main" count="4326" uniqueCount="1223">
  <si>
    <t>Order ID</t>
  </si>
  <si>
    <t>Order Date</t>
  </si>
  <si>
    <t>Region</t>
  </si>
  <si>
    <t>Product</t>
  </si>
  <si>
    <t>Category</t>
  </si>
  <si>
    <t>Sales</t>
  </si>
  <si>
    <t>Profit</t>
  </si>
  <si>
    <t>Quantity</t>
  </si>
  <si>
    <t>Profit Margin</t>
  </si>
  <si>
    <t>Sales Category</t>
  </si>
  <si>
    <t>ORD-100437</t>
  </si>
  <si>
    <t>2024-01-03</t>
  </si>
  <si>
    <t>North</t>
  </si>
  <si>
    <t>Whiteboard</t>
  </si>
  <si>
    <t>Stationery</t>
  </si>
  <si>
    <t>ORD-100591</t>
  </si>
  <si>
    <t>2024-01-04</t>
  </si>
  <si>
    <t>Wall Clock</t>
  </si>
  <si>
    <t>Home &amp; Office</t>
  </si>
  <si>
    <t>ORD-100844</t>
  </si>
  <si>
    <t>East</t>
  </si>
  <si>
    <t>ORD-100288</t>
  </si>
  <si>
    <t>South</t>
  </si>
  <si>
    <t>LED Monitor</t>
  </si>
  <si>
    <t>Electronics</t>
  </si>
  <si>
    <t>ORD-100426</t>
  </si>
  <si>
    <t>2024-01-05</t>
  </si>
  <si>
    <t>Bookshelf</t>
  </si>
  <si>
    <t>Furniture</t>
  </si>
  <si>
    <t>ORD-100783</t>
  </si>
  <si>
    <t>ORD-100763</t>
  </si>
  <si>
    <t>2024-01-06</t>
  </si>
  <si>
    <t>West</t>
  </si>
  <si>
    <t>ORD-100782</t>
  </si>
  <si>
    <t>Printer</t>
  </si>
  <si>
    <t>ORD-100280</t>
  </si>
  <si>
    <t>ORD-100059</t>
  </si>
  <si>
    <t>2024-01-08</t>
  </si>
  <si>
    <t>Coffee Maker</t>
  </si>
  <si>
    <t>ORD-100460</t>
  </si>
  <si>
    <t>2024-01-09</t>
  </si>
  <si>
    <t>Office Chair</t>
  </si>
  <si>
    <t>ORD-100050</t>
  </si>
  <si>
    <t>Laptop Stand</t>
  </si>
  <si>
    <t>ORD-100056</t>
  </si>
  <si>
    <t>2024-01-10</t>
  </si>
  <si>
    <t>ORD-100831</t>
  </si>
  <si>
    <t>ORD-100342</t>
  </si>
  <si>
    <t>ORD-100267</t>
  </si>
  <si>
    <t>2024-01-11</t>
  </si>
  <si>
    <t>Sticky Notes</t>
  </si>
  <si>
    <t>ORD-100030</t>
  </si>
  <si>
    <t>ORD-100769</t>
  </si>
  <si>
    <t>2024-01-12</t>
  </si>
  <si>
    <t>Standing Desk</t>
  </si>
  <si>
    <t>ORD-100478</t>
  </si>
  <si>
    <t>2024-01-13</t>
  </si>
  <si>
    <t>Storage Bin</t>
  </si>
  <si>
    <t>ORD-100116</t>
  </si>
  <si>
    <t>2024-01-14</t>
  </si>
  <si>
    <t>Filing Cabinet</t>
  </si>
  <si>
    <t>ORD-100052</t>
  </si>
  <si>
    <t>ORD-100298</t>
  </si>
  <si>
    <t>Sofa</t>
  </si>
  <si>
    <t>ORD-100647</t>
  </si>
  <si>
    <t>2024-01-16</t>
  </si>
  <si>
    <t>ORD-100766</t>
  </si>
  <si>
    <t>ORD-100097</t>
  </si>
  <si>
    <t>ORD-100825</t>
  </si>
  <si>
    <t>ORD-100805</t>
  </si>
  <si>
    <t>Desk Organizer</t>
  </si>
  <si>
    <t>ORD-100758</t>
  </si>
  <si>
    <t>2024-01-17</t>
  </si>
  <si>
    <t>ORD-100217</t>
  </si>
  <si>
    <t>LED Desk Lamp</t>
  </si>
  <si>
    <t>ORD-100031</t>
  </si>
  <si>
    <t>ORD-100026</t>
  </si>
  <si>
    <t>2024-01-18</t>
  </si>
  <si>
    <t>ORD-100817</t>
  </si>
  <si>
    <t>A4 Paper Ream</t>
  </si>
  <si>
    <t>ORD-100450</t>
  </si>
  <si>
    <t>2024-01-20</t>
  </si>
  <si>
    <t>ORD-100748</t>
  </si>
  <si>
    <t>ORD-100457</t>
  </si>
  <si>
    <t>ORD-100137</t>
  </si>
  <si>
    <t>Bluetooth Speaker</t>
  </si>
  <si>
    <t>ORD-100845</t>
  </si>
  <si>
    <t>ORD-100395</t>
  </si>
  <si>
    <t>2024-01-21</t>
  </si>
  <si>
    <t>Mechanical Keyboard</t>
  </si>
  <si>
    <t>ORD-100076</t>
  </si>
  <si>
    <t>ORD-100223</t>
  </si>
  <si>
    <t>ORD-100040</t>
  </si>
  <si>
    <t>ORD-100073</t>
  </si>
  <si>
    <t>ORD-100260</t>
  </si>
  <si>
    <t>2024-01-23</t>
  </si>
  <si>
    <t>ORD-100772</t>
  </si>
  <si>
    <t>2024-01-25</t>
  </si>
  <si>
    <t>ORD-100494</t>
  </si>
  <si>
    <t>ORD-100061</t>
  </si>
  <si>
    <t>ORD-100069</t>
  </si>
  <si>
    <t>ORD-100279</t>
  </si>
  <si>
    <t>ORD-100618</t>
  </si>
  <si>
    <t>2024-01-26</t>
  </si>
  <si>
    <t>ORD-100649</t>
  </si>
  <si>
    <t>ORD-100484</t>
  </si>
  <si>
    <t>2024-01-27</t>
  </si>
  <si>
    <t>ORD-100005</t>
  </si>
  <si>
    <t>ORD-100376</t>
  </si>
  <si>
    <t>2024-02-01</t>
  </si>
  <si>
    <t>ORD-100631</t>
  </si>
  <si>
    <t>2024-02-02</t>
  </si>
  <si>
    <t>Ballpoint Pen Pack</t>
  </si>
  <si>
    <t>ORD-100646</t>
  </si>
  <si>
    <t>2024-02-03</t>
  </si>
  <si>
    <t>ORD-100359</t>
  </si>
  <si>
    <t>2024-02-04</t>
  </si>
  <si>
    <t>ORD-100577</t>
  </si>
  <si>
    <t>ORD-100630</t>
  </si>
  <si>
    <t>2024-02-05</t>
  </si>
  <si>
    <t>ORD-100038</t>
  </si>
  <si>
    <t>ORD-100524</t>
  </si>
  <si>
    <t>2024-02-07</t>
  </si>
  <si>
    <t>ORD-100294</t>
  </si>
  <si>
    <t>ORD-100737</t>
  </si>
  <si>
    <t>ORD-100145</t>
  </si>
  <si>
    <t>2024-02-08</t>
  </si>
  <si>
    <t>ORD-100433</t>
  </si>
  <si>
    <t>ORD-100021</t>
  </si>
  <si>
    <t>ORD-100098</t>
  </si>
  <si>
    <t>ORD-100256</t>
  </si>
  <si>
    <t>2024-02-09</t>
  </si>
  <si>
    <t>ORD-100673</t>
  </si>
  <si>
    <t>2024-02-10</t>
  </si>
  <si>
    <t>ORD-100746</t>
  </si>
  <si>
    <t>2024-02-11</t>
  </si>
  <si>
    <t>ORD-100717</t>
  </si>
  <si>
    <t>ORD-100282</t>
  </si>
  <si>
    <t>ORD-100558</t>
  </si>
  <si>
    <t>2024-02-12</t>
  </si>
  <si>
    <t>ORD-100254</t>
  </si>
  <si>
    <t>2024-02-13</t>
  </si>
  <si>
    <t>ORD-100331</t>
  </si>
  <si>
    <t>ORD-100555</t>
  </si>
  <si>
    <t>2024-02-14</t>
  </si>
  <si>
    <t>ORD-100811</t>
  </si>
  <si>
    <t>2024-02-15</t>
  </si>
  <si>
    <t>ORD-100542</t>
  </si>
  <si>
    <t>2024-02-16</t>
  </si>
  <si>
    <t>ORD-100693</t>
  </si>
  <si>
    <t>ORD-100016</t>
  </si>
  <si>
    <t>ORD-100827</t>
  </si>
  <si>
    <t>ORD-100527</t>
  </si>
  <si>
    <t>2024-02-17</t>
  </si>
  <si>
    <t>ORD-100792</t>
  </si>
  <si>
    <t>ORD-100605</t>
  </si>
  <si>
    <t>ORD-100092</t>
  </si>
  <si>
    <t>2024-02-18</t>
  </si>
  <si>
    <t>ORD-100352</t>
  </si>
  <si>
    <t>2024-02-19</t>
  </si>
  <si>
    <t>ORD-100161</t>
  </si>
  <si>
    <t>2024-02-20</t>
  </si>
  <si>
    <t>ORD-100668</t>
  </si>
  <si>
    <t>ORD-100184</t>
  </si>
  <si>
    <t>2024-02-21</t>
  </si>
  <si>
    <t>ORD-100009</t>
  </si>
  <si>
    <t>ORD-100229</t>
  </si>
  <si>
    <t>ORD-100034</t>
  </si>
  <si>
    <t>ORD-100553</t>
  </si>
  <si>
    <t>2024-02-22</t>
  </si>
  <si>
    <t>ORD-100236</t>
  </si>
  <si>
    <t>ORD-100160</t>
  </si>
  <si>
    <t>2024-02-23</t>
  </si>
  <si>
    <t>ORD-100221</t>
  </si>
  <si>
    <t>ORD-100533</t>
  </si>
  <si>
    <t>ORD-100762</t>
  </si>
  <si>
    <t>ORD-100459</t>
  </si>
  <si>
    <t>ORD-100759</t>
  </si>
  <si>
    <t>2024-02-25</t>
  </si>
  <si>
    <t>ORD-100044</t>
  </si>
  <si>
    <t>ORD-100832</t>
  </si>
  <si>
    <t>2024-02-26</t>
  </si>
  <si>
    <t>ORD-100690</t>
  </si>
  <si>
    <t>ORD-100432</t>
  </si>
  <si>
    <t>ORD-100435</t>
  </si>
  <si>
    <t>ORD-100398</t>
  </si>
  <si>
    <t>ORD-100802</t>
  </si>
  <si>
    <t>2024-02-27</t>
  </si>
  <si>
    <t>ORD-100656</t>
  </si>
  <si>
    <t>2024-02-28</t>
  </si>
  <si>
    <t>ORD-100180</t>
  </si>
  <si>
    <t>ORD-100485</t>
  </si>
  <si>
    <t>ORD-100385</t>
  </si>
  <si>
    <t>ORD-100391</t>
  </si>
  <si>
    <t>ORD-100169</t>
  </si>
  <si>
    <t>ORD-100587</t>
  </si>
  <si>
    <t>2024-03-02</t>
  </si>
  <si>
    <t>ORD-100147</t>
  </si>
  <si>
    <t>ORD-100131</t>
  </si>
  <si>
    <t>2024-03-03</t>
  </si>
  <si>
    <t>ORD-100790</t>
  </si>
  <si>
    <t>ORD-100681</t>
  </si>
  <si>
    <t>2024-03-04</t>
  </si>
  <si>
    <t>ORD-100452</t>
  </si>
  <si>
    <t>ORD-100238</t>
  </si>
  <si>
    <t>2024-03-05</t>
  </si>
  <si>
    <t>ORD-100335</t>
  </si>
  <si>
    <t>ORD-100242</t>
  </si>
  <si>
    <t>ORD-100077</t>
  </si>
  <si>
    <t>ORD-100253</t>
  </si>
  <si>
    <t>2024-03-06</t>
  </si>
  <si>
    <t>ORD-100589</t>
  </si>
  <si>
    <t>ORD-100662</t>
  </si>
  <si>
    <t>ORD-100752</t>
  </si>
  <si>
    <t>ORD-100382</t>
  </si>
  <si>
    <t>2024-03-07</t>
  </si>
  <si>
    <t>ORD-100178</t>
  </si>
  <si>
    <t>ORD-100325</t>
  </si>
  <si>
    <t>ORD-100795</t>
  </si>
  <si>
    <t>ORD-100067</t>
  </si>
  <si>
    <t>2024-03-08</t>
  </si>
  <si>
    <t>ORD-100313</t>
  </si>
  <si>
    <t>2024-03-09</t>
  </si>
  <si>
    <t>ORD-100700</t>
  </si>
  <si>
    <t>2024-03-10</t>
  </si>
  <si>
    <t>ORD-100798</t>
  </si>
  <si>
    <t>ORD-100306</t>
  </si>
  <si>
    <t>ORD-100697</t>
  </si>
  <si>
    <t>ORD-100444</t>
  </si>
  <si>
    <t>2024-03-11</t>
  </si>
  <si>
    <t>ORD-100350</t>
  </si>
  <si>
    <t>ORD-100400</t>
  </si>
  <si>
    <t>2024-03-12</t>
  </si>
  <si>
    <t>ORD-100197</t>
  </si>
  <si>
    <t>ORD-100413</t>
  </si>
  <si>
    <t>ORD-100436</t>
  </si>
  <si>
    <t>2024-03-13</t>
  </si>
  <si>
    <t>ORD-100461</t>
  </si>
  <si>
    <t>2024-03-14</t>
  </si>
  <si>
    <t>ORD-100053</t>
  </si>
  <si>
    <t>ORD-100377</t>
  </si>
  <si>
    <t>2024-03-15</t>
  </si>
  <si>
    <t>ORD-100132</t>
  </si>
  <si>
    <t>ORD-100682</t>
  </si>
  <si>
    <t>2024-03-16</t>
  </si>
  <si>
    <t>ORD-100500</t>
  </si>
  <si>
    <t>2024-03-17</t>
  </si>
  <si>
    <t>ORD-100310</t>
  </si>
  <si>
    <t>2024-03-18</t>
  </si>
  <si>
    <t>ORD-100257</t>
  </si>
  <si>
    <t>ORD-100423</t>
  </si>
  <si>
    <t>ORD-100602</t>
  </si>
  <si>
    <t>2024-03-19</t>
  </si>
  <si>
    <t>ORD-100760</t>
  </si>
  <si>
    <t>Wireless Mouse</t>
  </si>
  <si>
    <t>ORD-100480</t>
  </si>
  <si>
    <t>ORD-100261</t>
  </si>
  <si>
    <t>2024-03-20</t>
  </si>
  <si>
    <t>ORD-100230</t>
  </si>
  <si>
    <t>ORD-100779</t>
  </si>
  <si>
    <t>ORD-100787</t>
  </si>
  <si>
    <t>ORD-100182</t>
  </si>
  <si>
    <t>ORD-100511</t>
  </si>
  <si>
    <t>2024-03-21</t>
  </si>
  <si>
    <t>ORD-100606</t>
  </si>
  <si>
    <t>ORD-100312</t>
  </si>
  <si>
    <t>ORD-100560</t>
  </si>
  <si>
    <t>2024-03-22</t>
  </si>
  <si>
    <t>ORD-100707</t>
  </si>
  <si>
    <t>ORD-100055</t>
  </si>
  <si>
    <t>ORD-100370</t>
  </si>
  <si>
    <t>ORD-100615</t>
  </si>
  <si>
    <t>ORD-100744</t>
  </si>
  <si>
    <t>2024-03-23</t>
  </si>
  <si>
    <t>ORD-100243</t>
  </si>
  <si>
    <t>ORD-100588</t>
  </si>
  <si>
    <t>2024-03-24</t>
  </si>
  <si>
    <t>ORD-100458</t>
  </si>
  <si>
    <t>ORD-100186</t>
  </si>
  <si>
    <t>2024-03-25</t>
  </si>
  <si>
    <t>ORD-100764</t>
  </si>
  <si>
    <t>ORD-100430</t>
  </si>
  <si>
    <t>ORD-100540</t>
  </si>
  <si>
    <t>ORD-100691</t>
  </si>
  <si>
    <t>ORD-100449</t>
  </si>
  <si>
    <t>2024-03-26</t>
  </si>
  <si>
    <t>ORD-100655</t>
  </si>
  <si>
    <t>ORD-100834</t>
  </si>
  <si>
    <t>ORD-100523</t>
  </si>
  <si>
    <t>2024-03-27</t>
  </si>
  <si>
    <t>ORD-100839</t>
  </si>
  <si>
    <t>2024-03-28</t>
  </si>
  <si>
    <t>ORD-100125</t>
  </si>
  <si>
    <t>ORD-100418</t>
  </si>
  <si>
    <t>ORD-100565</t>
  </si>
  <si>
    <t>ORD-100713</t>
  </si>
  <si>
    <t>2024-04-01</t>
  </si>
  <si>
    <t>ORD-100526</t>
  </si>
  <si>
    <t>ORD-100473</t>
  </si>
  <si>
    <t>2024-04-02</t>
  </si>
  <si>
    <t>ORD-100305</t>
  </si>
  <si>
    <t>ORD-100020</t>
  </si>
  <si>
    <t>2024-04-03</t>
  </si>
  <si>
    <t>ORD-100066</t>
  </si>
  <si>
    <t>ORD-100396</t>
  </si>
  <si>
    <t>ORD-100146</t>
  </si>
  <si>
    <t>ORD-100304</t>
  </si>
  <si>
    <t>ORD-100401</t>
  </si>
  <si>
    <t>2024-04-04</t>
  </si>
  <si>
    <t>ORD-100414</t>
  </si>
  <si>
    <t>ORD-100689</t>
  </si>
  <si>
    <t>ORD-100233</t>
  </si>
  <si>
    <t>ORD-100213</t>
  </si>
  <si>
    <t>2024-04-05</t>
  </si>
  <si>
    <t>ORD-100346</t>
  </si>
  <si>
    <t>ORD-100609</t>
  </si>
  <si>
    <t>ORD-100440</t>
  </si>
  <si>
    <t>ORD-100141</t>
  </si>
  <si>
    <t>2024-04-06</t>
  </si>
  <si>
    <t>ORD-100796</t>
  </si>
  <si>
    <t>ORD-100045</t>
  </si>
  <si>
    <t>ORD-100819</t>
  </si>
  <si>
    <t>ORD-100138</t>
  </si>
  <si>
    <t>2024-04-07</t>
  </si>
  <si>
    <t>ORD-100506</t>
  </si>
  <si>
    <t>2024-04-08</t>
  </si>
  <si>
    <t>ORD-100007</t>
  </si>
  <si>
    <t>ORD-100467</t>
  </si>
  <si>
    <t>ORD-100716</t>
  </si>
  <si>
    <t>2024-04-09</t>
  </si>
  <si>
    <t>ORD-100367</t>
  </si>
  <si>
    <t>ORD-100581</t>
  </si>
  <si>
    <t>ORD-100234</t>
  </si>
  <si>
    <t>ORD-100568</t>
  </si>
  <si>
    <t>ORD-100120</t>
  </si>
  <si>
    <t>2024-04-10</t>
  </si>
  <si>
    <t>ORD-100039</t>
  </si>
  <si>
    <t>2024-04-11</t>
  </si>
  <si>
    <t>ORD-100499</t>
  </si>
  <si>
    <t>ORD-100287</t>
  </si>
  <si>
    <t>ORD-100329</t>
  </si>
  <si>
    <t>2024-04-12</t>
  </si>
  <si>
    <t>ORD-100515</t>
  </si>
  <si>
    <t>ORD-100360</t>
  </si>
  <si>
    <t>ORD-100341</t>
  </si>
  <si>
    <t>2024-04-13</t>
  </si>
  <si>
    <t>ORD-100532</t>
  </si>
  <si>
    <t>ORD-100724</t>
  </si>
  <si>
    <t>ORD-100726</t>
  </si>
  <si>
    <t>2024-04-14</t>
  </si>
  <si>
    <t>ORD-100486</t>
  </si>
  <si>
    <t>ORD-100339</t>
  </si>
  <si>
    <t>2024-04-15</t>
  </si>
  <si>
    <t>ORD-100584</t>
  </si>
  <si>
    <t>ORD-100734</t>
  </si>
  <si>
    <t>ORD-100545</t>
  </si>
  <si>
    <t>ORD-100317</t>
  </si>
  <si>
    <t>ORD-100603</t>
  </si>
  <si>
    <t>2024-04-16</t>
  </si>
  <si>
    <t>ORD-100071</t>
  </si>
  <si>
    <t>ORD-100652</t>
  </si>
  <si>
    <t>ORD-100420</t>
  </si>
  <si>
    <t>2024-04-17</t>
  </si>
  <si>
    <t>ORD-100321</t>
  </si>
  <si>
    <t>2024-04-18</t>
  </si>
  <si>
    <t>ORD-100481</t>
  </si>
  <si>
    <t>ORD-100599</t>
  </si>
  <si>
    <t>ORD-100651</t>
  </si>
  <si>
    <t>2024-04-19</t>
  </si>
  <si>
    <t>ORD-100415</t>
  </si>
  <si>
    <t>ORD-100637</t>
  </si>
  <si>
    <t>2024-04-20</t>
  </si>
  <si>
    <t>ORD-100680</t>
  </si>
  <si>
    <t>ORD-100720</t>
  </si>
  <si>
    <t>2024-04-21</t>
  </si>
  <si>
    <t>ORD-100207</t>
  </si>
  <si>
    <t>ORD-100190</t>
  </si>
  <si>
    <t>ORD-100780</t>
  </si>
  <si>
    <t>ORD-100767</t>
  </si>
  <si>
    <t>2024-04-22</t>
  </si>
  <si>
    <t>ORD-100403</t>
  </si>
  <si>
    <t>2024-04-23</t>
  </si>
  <si>
    <t>ORD-100330</t>
  </si>
  <si>
    <t>ORD-100196</t>
  </si>
  <si>
    <t>2024-04-24</t>
  </si>
  <si>
    <t>ORD-100666</t>
  </si>
  <si>
    <t>ORD-100644</t>
  </si>
  <si>
    <t>ORD-100563</t>
  </si>
  <si>
    <t>2024-04-26</t>
  </si>
  <si>
    <t>ORD-100505</t>
  </si>
  <si>
    <t>ORD-100224</t>
  </si>
  <si>
    <t>ORD-100119</t>
  </si>
  <si>
    <t>ORD-100490</t>
  </si>
  <si>
    <t>2024-04-27</t>
  </si>
  <si>
    <t>ORD-100561</t>
  </si>
  <si>
    <t>ORD-100622</t>
  </si>
  <si>
    <t>2024-04-28</t>
  </si>
  <si>
    <t>ORD-100214</t>
  </si>
  <si>
    <t>2024-05-02</t>
  </si>
  <si>
    <t>ORD-100319</t>
  </si>
  <si>
    <t>ORD-100297</t>
  </si>
  <si>
    <t>2024-05-03</t>
  </si>
  <si>
    <t>ORD-100580</t>
  </si>
  <si>
    <t>ORD-100036</t>
  </si>
  <si>
    <t>ORD-100397</t>
  </si>
  <si>
    <t>2024-05-04</t>
  </si>
  <si>
    <t>ORD-100786</t>
  </si>
  <si>
    <t>2024-05-05</t>
  </si>
  <si>
    <t>ORD-100095</t>
  </si>
  <si>
    <t>ORD-100402</t>
  </si>
  <si>
    <t>ORD-100456</t>
  </si>
  <si>
    <t>2024-05-06</t>
  </si>
  <si>
    <t>ORD-100765</t>
  </si>
  <si>
    <t>ORD-100172</t>
  </si>
  <si>
    <t>ORD-100804</t>
  </si>
  <si>
    <t>ORD-100706</t>
  </si>
  <si>
    <t>2024-05-07</t>
  </si>
  <si>
    <t>ORD-100572</t>
  </si>
  <si>
    <t>ORD-100368</t>
  </si>
  <si>
    <t>ORD-100466</t>
  </si>
  <si>
    <t>ORD-100371</t>
  </si>
  <si>
    <t>2024-05-08</t>
  </si>
  <si>
    <t>ORD-100347</t>
  </si>
  <si>
    <t>ORD-100248</t>
  </si>
  <si>
    <t>2024-05-10</t>
  </si>
  <si>
    <t>ORD-100237</t>
  </si>
  <si>
    <t>ORD-100307</t>
  </si>
  <si>
    <t>ORD-100739</t>
  </si>
  <si>
    <t>ORD-100094</t>
  </si>
  <si>
    <t>ORD-100727</t>
  </si>
  <si>
    <t>2024-05-11</t>
  </si>
  <si>
    <t>ORD-100174</t>
  </si>
  <si>
    <t>ORD-100112</t>
  </si>
  <si>
    <t>ORD-100463</t>
  </si>
  <si>
    <t>ORD-100130</t>
  </si>
  <si>
    <t>2024-05-12</t>
  </si>
  <si>
    <t>ORD-100627</t>
  </si>
  <si>
    <t>ORD-100259</t>
  </si>
  <si>
    <t>ORD-100231</t>
  </si>
  <si>
    <t>2024-05-13</t>
  </si>
  <si>
    <t>ORD-100348</t>
  </si>
  <si>
    <t>ORD-100369</t>
  </si>
  <si>
    <t>ORD-100468</t>
  </si>
  <si>
    <t>2024-05-14</t>
  </si>
  <si>
    <t>ORD-100046</t>
  </si>
  <si>
    <t>ORD-100274</t>
  </si>
  <si>
    <t>2024-05-15</t>
  </si>
  <si>
    <t>ORD-100139</t>
  </si>
  <si>
    <t>ORD-100362</t>
  </si>
  <si>
    <t>ORD-100251</t>
  </si>
  <si>
    <t>ORD-100791</t>
  </si>
  <si>
    <t>2024-05-16</t>
  </si>
  <si>
    <t>ORD-100670</t>
  </si>
  <si>
    <t>ORD-100192</t>
  </si>
  <si>
    <t>ORD-100488</t>
  </si>
  <si>
    <t>2024-05-17</t>
  </si>
  <si>
    <t>ORD-100162</t>
  </si>
  <si>
    <t>ORD-100443</t>
  </si>
  <si>
    <t>2024-05-18</t>
  </si>
  <si>
    <t>ORD-100785</t>
  </si>
  <si>
    <t>ORD-100090</t>
  </si>
  <si>
    <t>2024-05-19</t>
  </si>
  <si>
    <t>ORD-100422</t>
  </si>
  <si>
    <t>2024-05-20</t>
  </si>
  <si>
    <t>ORD-100703</t>
  </si>
  <si>
    <t>ORD-100159</t>
  </si>
  <si>
    <t>2024-05-21</t>
  </si>
  <si>
    <t>ORD-100529</t>
  </si>
  <si>
    <t>2024-05-22</t>
  </si>
  <si>
    <t>ORD-100595</t>
  </si>
  <si>
    <t>ORD-100263</t>
  </si>
  <si>
    <t>ORD-100127</t>
  </si>
  <si>
    <t>2024-05-23</t>
  </si>
  <si>
    <t>ORD-100843</t>
  </si>
  <si>
    <t>ORD-100383</t>
  </si>
  <si>
    <t>ORD-100091</t>
  </si>
  <si>
    <t>ORD-100696</t>
  </si>
  <si>
    <t>2024-05-24</t>
  </si>
  <si>
    <t>ORD-100105</t>
  </si>
  <si>
    <t>ORD-100338</t>
  </si>
  <si>
    <t>2024-05-25</t>
  </si>
  <si>
    <t>ORD-100714</t>
  </si>
  <si>
    <t>ORD-100202</t>
  </si>
  <si>
    <t>ORD-100037</t>
  </si>
  <si>
    <t>2024-05-26</t>
  </si>
  <si>
    <t>ORD-100156</t>
  </si>
  <si>
    <t>ORD-100201</t>
  </si>
  <si>
    <t>ORD-100380</t>
  </si>
  <si>
    <t>2024-05-27</t>
  </si>
  <si>
    <t>ORD-100419</t>
  </si>
  <si>
    <t>ORD-100262</t>
  </si>
  <si>
    <t>ORD-100082</t>
  </si>
  <si>
    <t>2024-05-28</t>
  </si>
  <si>
    <t>ORD-100731</t>
  </si>
  <si>
    <t>2024-06-01</t>
  </si>
  <si>
    <t>ORD-100751</t>
  </si>
  <si>
    <t>ORD-100594</t>
  </si>
  <si>
    <t>ORD-100043</t>
  </si>
  <si>
    <t>2024-06-02</t>
  </si>
  <si>
    <t>ORD-100114</t>
  </si>
  <si>
    <t>ORD-100543</t>
  </si>
  <si>
    <t>ORD-100536</t>
  </si>
  <si>
    <t>2024-06-03</t>
  </si>
  <si>
    <t>ORD-100453</t>
  </si>
  <si>
    <t>2024-06-04</t>
  </si>
  <si>
    <t>ORD-100149</t>
  </si>
  <si>
    <t>ORD-100638</t>
  </si>
  <si>
    <t>ORD-100157</t>
  </si>
  <si>
    <t>ORD-100546</t>
  </si>
  <si>
    <t>ORD-100741</t>
  </si>
  <si>
    <t>2024-06-05</t>
  </si>
  <si>
    <t>ORD-100743</t>
  </si>
  <si>
    <t>ORD-100179</t>
  </si>
  <si>
    <t>ORD-100525</t>
  </si>
  <si>
    <t>2024-06-06</t>
  </si>
  <si>
    <t>ORD-100698</t>
  </si>
  <si>
    <t>ORD-100694</t>
  </si>
  <si>
    <t>2024-06-07</t>
  </si>
  <si>
    <t>ORD-100774</t>
  </si>
  <si>
    <t>ORD-100176</t>
  </si>
  <si>
    <t>ORD-100209</t>
  </si>
  <si>
    <t>2024-06-08</t>
  </si>
  <si>
    <t>ORD-100008</t>
  </si>
  <si>
    <t>ORD-100607</t>
  </si>
  <si>
    <t>ORD-100158</t>
  </si>
  <si>
    <t>ORD-100471</t>
  </si>
  <si>
    <t>2024-06-09</t>
  </si>
  <si>
    <t>ORD-100025</t>
  </si>
  <si>
    <t>ORD-100106</t>
  </si>
  <si>
    <t>ORD-100757</t>
  </si>
  <si>
    <t>2024-06-10</t>
  </si>
  <si>
    <t>ORD-100820</t>
  </si>
  <si>
    <t>ORD-100610</t>
  </si>
  <si>
    <t>2024-06-11</t>
  </si>
  <si>
    <t>ORD-100483</t>
  </si>
  <si>
    <t>ORD-100074</t>
  </si>
  <si>
    <t>ORD-100024</t>
  </si>
  <si>
    <t>ORD-100148</t>
  </si>
  <si>
    <t>2024-06-12</t>
  </si>
  <si>
    <t>ORD-100427</t>
  </si>
  <si>
    <t>ORD-100521</t>
  </si>
  <si>
    <t>2024-06-13</t>
  </si>
  <si>
    <t>ORD-100299</t>
  </si>
  <si>
    <t>ORD-100502</t>
  </si>
  <si>
    <t>ORD-100210</t>
  </si>
  <si>
    <t>ORD-100302</t>
  </si>
  <si>
    <t>ORD-100747</t>
  </si>
  <si>
    <t>2024-06-14</t>
  </si>
  <si>
    <t>ORD-100023</t>
  </si>
  <si>
    <t>ORD-100002</t>
  </si>
  <si>
    <t>2024-06-15</t>
  </si>
  <si>
    <t>ORD-100150</t>
  </si>
  <si>
    <t>ORD-100365</t>
  </si>
  <si>
    <t>ORD-100549</t>
  </si>
  <si>
    <t>ORD-100111</t>
  </si>
  <si>
    <t>2024-06-16</t>
  </si>
  <si>
    <t>ORD-100388</t>
  </si>
  <si>
    <t>ORD-100513</t>
  </si>
  <si>
    <t>ORD-100249</t>
  </si>
  <si>
    <t>ORD-100206</t>
  </si>
  <si>
    <t>2024-06-17</t>
  </si>
  <si>
    <t>ORD-100295</t>
  </si>
  <si>
    <t>ORD-100431</t>
  </si>
  <si>
    <t>2024-06-18</t>
  </si>
  <si>
    <t>ORD-100428</t>
  </si>
  <si>
    <t>2024-06-19</t>
  </si>
  <si>
    <t>ORD-100032</t>
  </si>
  <si>
    <t>ORD-100725</t>
  </si>
  <si>
    <t>ORD-100818</t>
  </si>
  <si>
    <t>ORD-100412</t>
  </si>
  <si>
    <t>2024-06-20</t>
  </si>
  <si>
    <t>ORD-100252</t>
  </si>
  <si>
    <t>ORD-100562</t>
  </si>
  <si>
    <t>ORD-100491</t>
  </si>
  <si>
    <t>ORD-100672</t>
  </si>
  <si>
    <t>2024-06-21</t>
  </si>
  <si>
    <t>ORD-100404</t>
  </si>
  <si>
    <t>ORD-100841</t>
  </si>
  <si>
    <t>ORD-100836</t>
  </si>
  <si>
    <t>2024-06-22</t>
  </si>
  <si>
    <t>ORD-100635</t>
  </si>
  <si>
    <t>ORD-100567</t>
  </si>
  <si>
    <t>ORD-100241</t>
  </si>
  <si>
    <t>ORD-100366</t>
  </si>
  <si>
    <t>2024-06-24</t>
  </si>
  <si>
    <t>ORD-100754</t>
  </si>
  <si>
    <t>ORD-100538</t>
  </si>
  <si>
    <t>ORD-100065</t>
  </si>
  <si>
    <t>2024-06-25</t>
  </si>
  <si>
    <t>ORD-100232</t>
  </si>
  <si>
    <t>ORD-100564</t>
  </si>
  <si>
    <t>2024-06-26</t>
  </si>
  <si>
    <t>ORD-100585</t>
  </si>
  <si>
    <t>ORD-100626</t>
  </si>
  <si>
    <t>ORD-100477</t>
  </si>
  <si>
    <t>2024-06-27</t>
  </si>
  <si>
    <t>ORD-100740</t>
  </si>
  <si>
    <t>ORD-100349</t>
  </si>
  <si>
    <t>ORD-100679</t>
  </si>
  <si>
    <t>2024-06-28</t>
  </si>
  <si>
    <t>ORD-100509</t>
  </si>
  <si>
    <t>ORD-100115</t>
  </si>
  <si>
    <t>2024-07-01</t>
  </si>
  <si>
    <t>ORD-100794</t>
  </si>
  <si>
    <t>2024-07-02</t>
  </si>
  <si>
    <t>ORD-100333</t>
  </si>
  <si>
    <t>ORD-100775</t>
  </si>
  <si>
    <t>2024-07-03</t>
  </si>
  <si>
    <t>ORD-100848</t>
  </si>
  <si>
    <t>ORD-100019</t>
  </si>
  <si>
    <t>2024-07-04</t>
  </si>
  <si>
    <t>ORD-100235</t>
  </si>
  <si>
    <t>ORD-100118</t>
  </si>
  <si>
    <t>2024-07-05</t>
  </si>
  <si>
    <t>ORD-100482</t>
  </si>
  <si>
    <t>2024-07-06</t>
  </si>
  <si>
    <t>ORD-100571</t>
  </si>
  <si>
    <t>ORD-100027</t>
  </si>
  <si>
    <t>2024-07-07</t>
  </si>
  <si>
    <t>ORD-100620</t>
  </si>
  <si>
    <t>2024-07-08</t>
  </si>
  <si>
    <t>ORD-100474</t>
  </si>
  <si>
    <t>ORD-100753</t>
  </si>
  <si>
    <t>ORD-100135</t>
  </si>
  <si>
    <t>ORD-100316</t>
  </si>
  <si>
    <t>ORD-100640</t>
  </si>
  <si>
    <t>ORD-100004</t>
  </si>
  <si>
    <t>2024-07-09</t>
  </si>
  <si>
    <t>ORD-100641</t>
  </si>
  <si>
    <t>ORD-100688</t>
  </si>
  <si>
    <t>ORD-100283</t>
  </si>
  <si>
    <t>ORD-100010</t>
  </si>
  <si>
    <t>ORD-100361</t>
  </si>
  <si>
    <t>2024-07-10</t>
  </si>
  <si>
    <t>ORD-100096</t>
  </si>
  <si>
    <t>2024-07-11</t>
  </si>
  <si>
    <t>ORD-100721</t>
  </si>
  <si>
    <t>ORD-100240</t>
  </si>
  <si>
    <t>2024-07-14</t>
  </si>
  <si>
    <t>ORD-100617</t>
  </si>
  <si>
    <t>ORD-100332</t>
  </si>
  <si>
    <t>ORD-100695</t>
  </si>
  <si>
    <t>2024-07-15</t>
  </si>
  <si>
    <t>ORD-100290</t>
  </si>
  <si>
    <t>ORD-100665</t>
  </si>
  <si>
    <t>ORD-100099</t>
  </si>
  <si>
    <t>ORD-100109</t>
  </si>
  <si>
    <t>ORD-100755</t>
  </si>
  <si>
    <t>ORD-100272</t>
  </si>
  <si>
    <t>2024-07-16</t>
  </si>
  <si>
    <t>ORD-100614</t>
  </si>
  <si>
    <t>ORD-100576</t>
  </si>
  <si>
    <t>2024-07-17</t>
  </si>
  <si>
    <t>ORD-100063</t>
  </si>
  <si>
    <t>ORD-100573</t>
  </si>
  <si>
    <t>2024-07-18</t>
  </si>
  <si>
    <t>ORD-100351</t>
  </si>
  <si>
    <t>2024-07-19</t>
  </si>
  <si>
    <t>ORD-100612</t>
  </si>
  <si>
    <t>ORD-100194</t>
  </si>
  <si>
    <t>2024-07-20</t>
  </si>
  <si>
    <t>ORD-100658</t>
  </si>
  <si>
    <t>2024-07-21</t>
  </si>
  <si>
    <t>ORD-100117</t>
  </si>
  <si>
    <t>2024-07-23</t>
  </si>
  <si>
    <t>ORD-100661</t>
  </si>
  <si>
    <t>2024-07-25</t>
  </si>
  <si>
    <t>ORD-100318</t>
  </si>
  <si>
    <t>2024-07-26</t>
  </si>
  <si>
    <t>ORD-100822</t>
  </si>
  <si>
    <t>ORD-100683</t>
  </si>
  <si>
    <t>ORD-100123</t>
  </si>
  <si>
    <t>ORD-100255</t>
  </si>
  <si>
    <t>2024-07-27</t>
  </si>
  <si>
    <t>ORD-100816</t>
  </si>
  <si>
    <t>2024-07-28</t>
  </si>
  <si>
    <t>ORD-100108</t>
  </si>
  <si>
    <t>2024-08-01</t>
  </si>
  <si>
    <t>ORD-100215</t>
  </si>
  <si>
    <t>ORD-100619</t>
  </si>
  <si>
    <t>ORD-100715</t>
  </si>
  <si>
    <t>2024-08-04</t>
  </si>
  <si>
    <t>ORD-100806</t>
  </si>
  <si>
    <t>2024-08-05</t>
  </si>
  <si>
    <t>ORD-100519</t>
  </si>
  <si>
    <t>2024-08-06</t>
  </si>
  <si>
    <t>ORD-100596</t>
  </si>
  <si>
    <t>ORD-100493</t>
  </si>
  <si>
    <t>2024-08-07</t>
  </si>
  <si>
    <t>ORD-100676</t>
  </si>
  <si>
    <t>ORD-100616</t>
  </si>
  <si>
    <t>2024-08-08</t>
  </si>
  <si>
    <t>ORD-100271</t>
  </si>
  <si>
    <t>ORD-100654</t>
  </si>
  <si>
    <t>ORD-100345</t>
  </si>
  <si>
    <t>ORD-100597</t>
  </si>
  <si>
    <t>2024-08-09</t>
  </si>
  <si>
    <t>ORD-100017</t>
  </si>
  <si>
    <t>ORD-100275</t>
  </si>
  <si>
    <t>ORD-100079</t>
  </si>
  <si>
    <t>2024-08-10</t>
  </si>
  <si>
    <t>ORD-100102</t>
  </si>
  <si>
    <t>ORD-100033</t>
  </si>
  <si>
    <t>2024-08-11</t>
  </si>
  <si>
    <t>ORD-100189</t>
  </si>
  <si>
    <t>2024-08-12</t>
  </si>
  <si>
    <t>ORD-100168</t>
  </si>
  <si>
    <t>ORD-100416</t>
  </si>
  <si>
    <t>ORD-100121</t>
  </si>
  <si>
    <t>ORD-100381</t>
  </si>
  <si>
    <t>ORD-100340</t>
  </si>
  <si>
    <t>2024-08-13</t>
  </si>
  <si>
    <t>ORD-100664</t>
  </si>
  <si>
    <t>ORD-100541</t>
  </si>
  <si>
    <t>ORD-100379</t>
  </si>
  <si>
    <t>2024-08-14</t>
  </si>
  <si>
    <t>ORD-100068</t>
  </si>
  <si>
    <t>ORD-100507</t>
  </si>
  <si>
    <t>2024-08-15</t>
  </si>
  <si>
    <t>ORD-100842</t>
  </si>
  <si>
    <t>ORD-100534</t>
  </si>
  <si>
    <t>ORD-100144</t>
  </si>
  <si>
    <t>ORD-100808</t>
  </si>
  <si>
    <t>2024-08-16</t>
  </si>
  <si>
    <t>ORD-100022</t>
  </si>
  <si>
    <t>ORD-100777</t>
  </si>
  <si>
    <t>2024-08-17</t>
  </si>
  <si>
    <t>ORD-100177</t>
  </si>
  <si>
    <t>ORD-100343</t>
  </si>
  <si>
    <t>ORD-100475</t>
  </si>
  <si>
    <t>ORD-100183</t>
  </si>
  <si>
    <t>ORD-100405</t>
  </si>
  <si>
    <t>ORD-100293</t>
  </si>
  <si>
    <t>ORD-100797</t>
  </si>
  <si>
    <t>2024-08-18</t>
  </si>
  <si>
    <t>ORD-100187</t>
  </si>
  <si>
    <t>2024-08-19</t>
  </si>
  <si>
    <t>ORD-100181</t>
  </si>
  <si>
    <t>ORD-100372</t>
  </si>
  <si>
    <t>ORD-100657</t>
  </si>
  <si>
    <t>ORD-100245</t>
  </si>
  <si>
    <t>ORD-100613</t>
  </si>
  <si>
    <t>ORD-100498</t>
  </si>
  <si>
    <t>2024-08-20</t>
  </si>
  <si>
    <t>ORD-100732</t>
  </si>
  <si>
    <t>ORD-100375</t>
  </si>
  <si>
    <t>2024-08-21</t>
  </si>
  <si>
    <t>ORD-100357</t>
  </si>
  <si>
    <t>ORD-100660</t>
  </si>
  <si>
    <t>ORD-100424</t>
  </si>
  <si>
    <t>ORD-100104</t>
  </si>
  <si>
    <t>ORD-100151</t>
  </si>
  <si>
    <t>ORD-100198</t>
  </si>
  <si>
    <t>ORD-100300</t>
  </si>
  <si>
    <t>ORD-100270</t>
  </si>
  <si>
    <t>2024-08-22</t>
  </si>
  <si>
    <t>ORD-100006</t>
  </si>
  <si>
    <t>2024-08-23</t>
  </si>
  <si>
    <t>ORD-100320</t>
  </si>
  <si>
    <t>2024-08-24</t>
  </si>
  <si>
    <t>ORD-100265</t>
  </si>
  <si>
    <t>ORD-100093</t>
  </si>
  <si>
    <t>2024-08-25</t>
  </si>
  <si>
    <t>ORD-100781</t>
  </si>
  <si>
    <t>ORD-100632</t>
  </si>
  <si>
    <t>ORD-100191</t>
  </si>
  <si>
    <t>2024-08-26</t>
  </si>
  <si>
    <t>ORD-100246</t>
  </si>
  <si>
    <t>2024-08-27</t>
  </si>
  <si>
    <t>ORD-100702</t>
  </si>
  <si>
    <t>ORD-100336</t>
  </si>
  <si>
    <t>2024-08-28</t>
  </si>
  <si>
    <t>ORD-100124</t>
  </si>
  <si>
    <t>ORD-100264</t>
  </si>
  <si>
    <t>2024-09-01</t>
  </si>
  <si>
    <t>ORD-100358</t>
  </si>
  <si>
    <t>2024-09-02</t>
  </si>
  <si>
    <t>ORD-100195</t>
  </si>
  <si>
    <t>ORD-100469</t>
  </si>
  <si>
    <t>2024-09-03</t>
  </si>
  <si>
    <t>ORD-100470</t>
  </si>
  <si>
    <t>ORD-100058</t>
  </si>
  <si>
    <t>ORD-100384</t>
  </si>
  <si>
    <t>2024-09-04</t>
  </si>
  <si>
    <t>ORD-100219</t>
  </si>
  <si>
    <t>ORD-100592</t>
  </si>
  <si>
    <t>ORD-100669</t>
  </si>
  <si>
    <t>2024-09-05</t>
  </si>
  <si>
    <t>ORD-100277</t>
  </si>
  <si>
    <t>ORD-100729</t>
  </si>
  <si>
    <t>ORD-100750</t>
  </si>
  <si>
    <t>2024-09-06</t>
  </si>
  <si>
    <t>ORD-100101</t>
  </si>
  <si>
    <t>ORD-100578</t>
  </si>
  <si>
    <t>2024-09-07</t>
  </si>
  <si>
    <t>ORD-100060</t>
  </si>
  <si>
    <t>ORD-100216</t>
  </si>
  <si>
    <t>2024-09-08</t>
  </si>
  <si>
    <t>ORD-100103</t>
  </si>
  <si>
    <t>2024-09-09</t>
  </si>
  <si>
    <t>ORD-100446</t>
  </si>
  <si>
    <t>ORD-100687</t>
  </si>
  <si>
    <t>2024-09-10</t>
  </si>
  <si>
    <t>ORD-100411</t>
  </si>
  <si>
    <t>ORD-100593</t>
  </si>
  <si>
    <t>ORD-100522</t>
  </si>
  <si>
    <t>ORD-100227</t>
  </si>
  <si>
    <t>ORD-100128</t>
  </si>
  <si>
    <t>ORD-100776</t>
  </si>
  <si>
    <t>2024-09-11</t>
  </si>
  <si>
    <t>ORD-100624</t>
  </si>
  <si>
    <t>ORD-100828</t>
  </si>
  <si>
    <t>ORD-100749</t>
  </si>
  <si>
    <t>2024-09-12</t>
  </si>
  <si>
    <t>ORD-100218</t>
  </si>
  <si>
    <t>ORD-100455</t>
  </si>
  <si>
    <t>ORD-100634</t>
  </si>
  <si>
    <t>ORD-100126</t>
  </si>
  <si>
    <t>2024-09-13</t>
  </si>
  <si>
    <t>ORD-100722</t>
  </si>
  <si>
    <t>ORD-100309</t>
  </si>
  <si>
    <t>ORD-100143</t>
  </si>
  <si>
    <t>ORD-100086</t>
  </si>
  <si>
    <t>ORD-100611</t>
  </si>
  <si>
    <t>2024-09-14</t>
  </si>
  <si>
    <t>ORD-100167</t>
  </si>
  <si>
    <t>ORD-100742</t>
  </si>
  <si>
    <t>ORD-100134</t>
  </si>
  <si>
    <t>ORD-100814</t>
  </si>
  <si>
    <t>2024-09-15</t>
  </si>
  <si>
    <t>ORD-100508</t>
  </si>
  <si>
    <t>2024-09-16</t>
  </si>
  <si>
    <t>ORD-100089</t>
  </si>
  <si>
    <t>ORD-100322</t>
  </si>
  <si>
    <t>ORD-100029</t>
  </si>
  <si>
    <t>ORD-100386</t>
  </si>
  <si>
    <t>ORD-100199</t>
  </si>
  <si>
    <t>2024-09-17</t>
  </si>
  <si>
    <t>ORD-100544</t>
  </si>
  <si>
    <t>ORD-100057</t>
  </si>
  <si>
    <t>ORD-100409</t>
  </si>
  <si>
    <t>2024-09-18</t>
  </si>
  <si>
    <t>ORD-100244</t>
  </si>
  <si>
    <t>ORD-100582</t>
  </si>
  <si>
    <t>ORD-100497</t>
  </si>
  <si>
    <t>2024-09-19</t>
  </si>
  <si>
    <t>ORD-100035</t>
  </si>
  <si>
    <t>ORD-100520</t>
  </si>
  <si>
    <t>2024-09-20</t>
  </si>
  <si>
    <t>ORD-100100</t>
  </si>
  <si>
    <t>ORD-100574</t>
  </si>
  <si>
    <t>ORD-100364</t>
  </si>
  <si>
    <t>2024-09-22</t>
  </si>
  <si>
    <t>ORD-100501</t>
  </si>
  <si>
    <t>ORD-100171</t>
  </si>
  <si>
    <t>2024-09-23</t>
  </si>
  <si>
    <t>ORD-100846</t>
  </si>
  <si>
    <t>ORD-100761</t>
  </si>
  <si>
    <t>ORD-100566</t>
  </si>
  <si>
    <t>2024-09-25</t>
  </si>
  <si>
    <t>ORD-100837</t>
  </si>
  <si>
    <t>ORD-100247</t>
  </si>
  <si>
    <t>ORD-100807</t>
  </si>
  <si>
    <t>2024-09-26</t>
  </si>
  <si>
    <t>ORD-100677</t>
  </si>
  <si>
    <t>2024-09-27</t>
  </si>
  <si>
    <t>ORD-100598</t>
  </si>
  <si>
    <t>ORD-100013</t>
  </si>
  <si>
    <t>ORD-100392</t>
  </si>
  <si>
    <t>ORD-100220</t>
  </si>
  <si>
    <t>ORD-100374</t>
  </si>
  <si>
    <t>2024-09-28</t>
  </si>
  <si>
    <t>ORD-100601</t>
  </si>
  <si>
    <t>ORD-100284</t>
  </si>
  <si>
    <t>2024-10-01</t>
  </si>
  <si>
    <t>ORD-100417</t>
  </si>
  <si>
    <t>ORD-100407</t>
  </si>
  <si>
    <t>ORD-100001</t>
  </si>
  <si>
    <t>2024-10-02</t>
  </si>
  <si>
    <t>ORD-100175</t>
  </si>
  <si>
    <t>ORD-100684</t>
  </si>
  <si>
    <t>2024-10-03</t>
  </si>
  <si>
    <t>ORD-100226</t>
  </si>
  <si>
    <t>ORD-100674</t>
  </si>
  <si>
    <t>2024-10-05</t>
  </si>
  <si>
    <t>ORD-100140</t>
  </si>
  <si>
    <t>2024-10-06</t>
  </si>
  <si>
    <t>ORD-100078</t>
  </si>
  <si>
    <t>ORD-100778</t>
  </si>
  <si>
    <t>2024-10-07</t>
  </si>
  <si>
    <t>ORD-100018</t>
  </si>
  <si>
    <t>ORD-100301</t>
  </si>
  <si>
    <t>2024-10-08</t>
  </si>
  <si>
    <t>ORD-100503</t>
  </si>
  <si>
    <t>ORD-100849</t>
  </si>
  <si>
    <t>2024-10-09</t>
  </si>
  <si>
    <t>ORD-100675</t>
  </si>
  <si>
    <t>2024-10-10</t>
  </si>
  <si>
    <t>ORD-100289</t>
  </si>
  <si>
    <t>ORD-100600</t>
  </si>
  <si>
    <t>ORD-100363</t>
  </si>
  <si>
    <t>2024-10-11</t>
  </si>
  <si>
    <t>ORD-100211</t>
  </si>
  <si>
    <t>ORD-100166</t>
  </si>
  <si>
    <t>2024-10-12</t>
  </si>
  <si>
    <t>ORD-100653</t>
  </si>
  <si>
    <t>ORD-100049</t>
  </si>
  <si>
    <t>ORD-100228</t>
  </si>
  <si>
    <t>ORD-100712</t>
  </si>
  <si>
    <t>ORD-100812</t>
  </si>
  <si>
    <t>2024-10-13</t>
  </si>
  <si>
    <t>ORD-100296</t>
  </si>
  <si>
    <t>ORD-100465</t>
  </si>
  <si>
    <t>2024-10-14</t>
  </si>
  <si>
    <t>ORD-100829</t>
  </si>
  <si>
    <t>ORD-100062</t>
  </si>
  <si>
    <t>2024-10-15</t>
  </si>
  <si>
    <t>ORD-100628</t>
  </si>
  <si>
    <t>ORD-100650</t>
  </si>
  <si>
    <t>ORD-100439</t>
  </si>
  <si>
    <t>2024-10-16</t>
  </si>
  <si>
    <t>ORD-100821</t>
  </si>
  <si>
    <t>ORD-100512</t>
  </si>
  <si>
    <t>ORD-100803</t>
  </si>
  <si>
    <t>ORD-100826</t>
  </si>
  <si>
    <t>2024-10-17</t>
  </si>
  <si>
    <t>ORD-100464</t>
  </si>
  <si>
    <t>2024-10-18</t>
  </si>
  <si>
    <t>ORD-100556</t>
  </si>
  <si>
    <t>ORD-100327</t>
  </si>
  <si>
    <t>ORD-100708</t>
  </si>
  <si>
    <t>2024-10-19</t>
  </si>
  <si>
    <t>ORD-100448</t>
  </si>
  <si>
    <t>ORD-100771</t>
  </si>
  <si>
    <t>ORD-100107</t>
  </si>
  <si>
    <t>2024-10-20</t>
  </si>
  <si>
    <t>ORD-100833</t>
  </si>
  <si>
    <t>ORD-100745</t>
  </si>
  <si>
    <t>2024-10-21</t>
  </si>
  <si>
    <t>ORD-100080</t>
  </si>
  <si>
    <t>ORD-100472</t>
  </si>
  <si>
    <t>2024-10-22</t>
  </si>
  <si>
    <t>ORD-100003</t>
  </si>
  <si>
    <t>ORD-100699</t>
  </si>
  <si>
    <t>ORD-100801</t>
  </si>
  <si>
    <t>ORD-100353</t>
  </si>
  <si>
    <t>2024-10-23</t>
  </si>
  <si>
    <t>ORD-100824</t>
  </si>
  <si>
    <t>ORD-100810</t>
  </si>
  <si>
    <t>ORD-100830</t>
  </si>
  <si>
    <t>2024-10-24</t>
  </si>
  <si>
    <t>ORD-100314</t>
  </si>
  <si>
    <t>ORD-100548</t>
  </si>
  <si>
    <t>ORD-100012</t>
  </si>
  <si>
    <t>ORD-100537</t>
  </si>
  <si>
    <t>ORD-100621</t>
  </si>
  <si>
    <t>2024-10-25</t>
  </si>
  <si>
    <t>ORD-100487</t>
  </si>
  <si>
    <t>ORD-100838</t>
  </si>
  <si>
    <t>ORD-100011</t>
  </si>
  <si>
    <t>ORD-100291</t>
  </si>
  <si>
    <t>2024-10-26</t>
  </si>
  <si>
    <t>ORD-100623</t>
  </si>
  <si>
    <t>ORD-100203</t>
  </si>
  <si>
    <t>ORD-100559</t>
  </si>
  <si>
    <t>2024-10-27</t>
  </si>
  <si>
    <t>ORD-100378</t>
  </si>
  <si>
    <t>ORD-100250</t>
  </si>
  <si>
    <t>2024-10-28</t>
  </si>
  <si>
    <t>ORD-100324</t>
  </si>
  <si>
    <t>2024-11-02</t>
  </si>
  <si>
    <t>ORD-100394</t>
  </si>
  <si>
    <t>2024-11-03</t>
  </si>
  <si>
    <t>ORD-100355</t>
  </si>
  <si>
    <t>ORD-100643</t>
  </si>
  <si>
    <t>ORD-100773</t>
  </si>
  <si>
    <t>ORD-100152</t>
  </si>
  <si>
    <t>ORD-100531</t>
  </si>
  <si>
    <t>ORD-100793</t>
  </si>
  <si>
    <t>2024-11-04</t>
  </si>
  <si>
    <t>ORD-100718</t>
  </si>
  <si>
    <t>ORD-100685</t>
  </si>
  <si>
    <t>ORD-100438</t>
  </si>
  <si>
    <t>ORD-100701</t>
  </si>
  <si>
    <t>2024-11-05</t>
  </si>
  <si>
    <t>ORD-100072</t>
  </si>
  <si>
    <t>ORD-100266</t>
  </si>
  <si>
    <t>ORD-100723</t>
  </si>
  <si>
    <t>ORD-100281</t>
  </si>
  <si>
    <t>2024-11-06</t>
  </si>
  <si>
    <t>ORD-100645</t>
  </si>
  <si>
    <t>2024-11-07</t>
  </si>
  <si>
    <t>ORD-100154</t>
  </si>
  <si>
    <t>2024-11-08</t>
  </si>
  <si>
    <t>ORD-100495</t>
  </si>
  <si>
    <t>ORD-100442</t>
  </si>
  <si>
    <t>ORD-100048</t>
  </si>
  <si>
    <t>ORD-100768</t>
  </si>
  <si>
    <t>2024-11-09</t>
  </si>
  <si>
    <t>ORD-100633</t>
  </si>
  <si>
    <t>2024-11-10</t>
  </si>
  <si>
    <t>ORD-100208</t>
  </si>
  <si>
    <t>ORD-100516</t>
  </si>
  <si>
    <t>ORD-100570</t>
  </si>
  <si>
    <t>ORD-100789</t>
  </si>
  <si>
    <t>ORD-100711</t>
  </si>
  <si>
    <t>2024-11-11</t>
  </si>
  <si>
    <t>ORD-100451</t>
  </si>
  <si>
    <t>ORD-100087</t>
  </si>
  <si>
    <t>ORD-100421</t>
  </si>
  <si>
    <t>ORD-100659</t>
  </si>
  <si>
    <t>2024-11-12</t>
  </si>
  <si>
    <t>ORD-100583</t>
  </si>
  <si>
    <t>ORD-100285</t>
  </si>
  <si>
    <t>2024-11-13</t>
  </si>
  <si>
    <t>ORD-100823</t>
  </si>
  <si>
    <t>ORD-100164</t>
  </si>
  <si>
    <t>ORD-100784</t>
  </si>
  <si>
    <t>2024-11-14</t>
  </si>
  <si>
    <t>ORD-100051</t>
  </si>
  <si>
    <t>ORD-100625</t>
  </si>
  <si>
    <t>ORD-100142</t>
  </si>
  <si>
    <t>2024-11-15</t>
  </si>
  <si>
    <t>ORD-100129</t>
  </si>
  <si>
    <t>ORD-100113</t>
  </si>
  <si>
    <t>ORD-100441</t>
  </si>
  <si>
    <t>2024-11-16</t>
  </si>
  <si>
    <t>ORD-100075</t>
  </si>
  <si>
    <t>ORD-100552</t>
  </si>
  <si>
    <t>ORD-100648</t>
  </si>
  <si>
    <t>ORD-100278</t>
  </si>
  <si>
    <t>ORD-100454</t>
  </si>
  <si>
    <t>ORD-100408</t>
  </si>
  <si>
    <t>2024-11-17</t>
  </si>
  <si>
    <t>ORD-100064</t>
  </si>
  <si>
    <t>ORD-100292</t>
  </si>
  <si>
    <t>ORD-100163</t>
  </si>
  <si>
    <t>2024-11-18</t>
  </si>
  <si>
    <t>ORD-100547</t>
  </si>
  <si>
    <t>ORD-100709</t>
  </si>
  <si>
    <t>ORD-100084</t>
  </si>
  <si>
    <t>ORD-100239</t>
  </si>
  <si>
    <t>ORD-100406</t>
  </si>
  <si>
    <t>2024-11-19</t>
  </si>
  <si>
    <t>ORD-100462</t>
  </si>
  <si>
    <t>ORD-100678</t>
  </si>
  <si>
    <t>2024-11-20</t>
  </si>
  <si>
    <t>ORD-100629</t>
  </si>
  <si>
    <t>ORD-100539</t>
  </si>
  <si>
    <t>ORD-100530</t>
  </si>
  <si>
    <t>2024-11-22</t>
  </si>
  <si>
    <t>ORD-100354</t>
  </si>
  <si>
    <t>ORD-100083</t>
  </si>
  <si>
    <t>2024-11-23</t>
  </si>
  <si>
    <t>ORD-100788</t>
  </si>
  <si>
    <t>ORD-100425</t>
  </si>
  <si>
    <t>2024-11-24</t>
  </si>
  <si>
    <t>ORD-100579</t>
  </si>
  <si>
    <t>ORD-100535</t>
  </si>
  <si>
    <t>ORD-100387</t>
  </si>
  <si>
    <t>2024-11-25</t>
  </si>
  <si>
    <t>ORD-100303</t>
  </si>
  <si>
    <t>ORD-100719</t>
  </si>
  <si>
    <t>ORD-100212</t>
  </si>
  <si>
    <t>ORD-100170</t>
  </si>
  <si>
    <t>ORD-100479</t>
  </si>
  <si>
    <t>2024-11-26</t>
  </si>
  <si>
    <t>ORD-100429</t>
  </si>
  <si>
    <t>ORD-100728</t>
  </si>
  <si>
    <t>ORD-100705</t>
  </si>
  <si>
    <t>ORD-100085</t>
  </si>
  <si>
    <t>2024-11-27</t>
  </si>
  <si>
    <t>ORD-100015</t>
  </si>
  <si>
    <t>ORD-100489</t>
  </si>
  <si>
    <t>ORD-100504</t>
  </si>
  <si>
    <t>ORD-100070</t>
  </si>
  <si>
    <t>ORD-100205</t>
  </si>
  <si>
    <t>ORD-100399</t>
  </si>
  <si>
    <t>2024-11-28</t>
  </si>
  <si>
    <t>ORD-100047</t>
  </si>
  <si>
    <t>ORD-100590</t>
  </si>
  <si>
    <t>ORD-100344</t>
  </si>
  <si>
    <t>ORD-100434</t>
  </si>
  <si>
    <t>2024-12-01</t>
  </si>
  <si>
    <t>ORD-100608</t>
  </si>
  <si>
    <t>ORD-100315</t>
  </si>
  <si>
    <t>ORD-100569</t>
  </si>
  <si>
    <t>2024-12-02</t>
  </si>
  <si>
    <t>ORD-100770</t>
  </si>
  <si>
    <t>ORD-100756</t>
  </si>
  <si>
    <t>ORD-100799</t>
  </si>
  <si>
    <t>ORD-100193</t>
  </si>
  <si>
    <t>2024-12-03</t>
  </si>
  <si>
    <t>ORD-100088</t>
  </si>
  <si>
    <t>ORD-100704</t>
  </si>
  <si>
    <t>ORD-100663</t>
  </si>
  <si>
    <t>ORD-100173</t>
  </si>
  <si>
    <t>ORD-100410</t>
  </si>
  <si>
    <t>2024-12-05</t>
  </si>
  <si>
    <t>ORD-100835</t>
  </si>
  <si>
    <t>ORD-100517</t>
  </si>
  <si>
    <t>ORD-100155</t>
  </si>
  <si>
    <t>ORD-100557</t>
  </si>
  <si>
    <t>ORD-100551</t>
  </si>
  <si>
    <t>ORD-100373</t>
  </si>
  <si>
    <t>2024-12-06</t>
  </si>
  <si>
    <t>ORD-100041</t>
  </si>
  <si>
    <t>ORD-100476</t>
  </si>
  <si>
    <t>ORD-100328</t>
  </si>
  <si>
    <t>ORD-100686</t>
  </si>
  <si>
    <t>2024-12-07</t>
  </si>
  <si>
    <t>ORD-100122</t>
  </si>
  <si>
    <t>2024-12-08</t>
  </si>
  <si>
    <t>ORD-100276</t>
  </si>
  <si>
    <t>ORD-100850</t>
  </si>
  <si>
    <t>2024-12-09</t>
  </si>
  <si>
    <t>ORD-100528</t>
  </si>
  <si>
    <t>ORD-100738</t>
  </si>
  <si>
    <t>2024-12-10</t>
  </si>
  <si>
    <t>ORD-100222</t>
  </si>
  <si>
    <t>2024-12-11</t>
  </si>
  <si>
    <t>ORD-100710</t>
  </si>
  <si>
    <t>ORD-100200</t>
  </si>
  <si>
    <t>ORD-100188</t>
  </si>
  <si>
    <t>ORD-100604</t>
  </si>
  <si>
    <t>2024-12-12</t>
  </si>
  <si>
    <t>ORD-100735</t>
  </si>
  <si>
    <t>ORD-100273</t>
  </si>
  <si>
    <t>2024-12-13</t>
  </si>
  <si>
    <t>ORD-100575</t>
  </si>
  <si>
    <t>ORD-100518</t>
  </si>
  <si>
    <t>ORD-100447</t>
  </si>
  <si>
    <t>ORD-100393</t>
  </si>
  <si>
    <t>2024-12-14</t>
  </si>
  <si>
    <t>ORD-100815</t>
  </si>
  <si>
    <t>ORD-100510</t>
  </si>
  <si>
    <t>2024-12-15</t>
  </si>
  <si>
    <t>ORD-100269</t>
  </si>
  <si>
    <t>2024-12-16</t>
  </si>
  <si>
    <t>ORD-100110</t>
  </si>
  <si>
    <t>ORD-100667</t>
  </si>
  <si>
    <t>ORD-100286</t>
  </si>
  <si>
    <t>ORD-100225</t>
  </si>
  <si>
    <t>ORD-100054</t>
  </si>
  <si>
    <t>2024-12-17</t>
  </si>
  <si>
    <t>ORD-100445</t>
  </si>
  <si>
    <t>ORD-100733</t>
  </si>
  <si>
    <t>ORD-100014</t>
  </si>
  <si>
    <t>ORD-100642</t>
  </si>
  <si>
    <t>ORD-100736</t>
  </si>
  <si>
    <t>ORD-100311</t>
  </si>
  <si>
    <t>2024-12-18</t>
  </si>
  <si>
    <t>ORD-100323</t>
  </si>
  <si>
    <t>ORD-100671</t>
  </si>
  <si>
    <t>ORD-100334</t>
  </si>
  <si>
    <t>ORD-100636</t>
  </si>
  <si>
    <t>ORD-100639</t>
  </si>
  <si>
    <t>ORD-100847</t>
  </si>
  <si>
    <t>2024-12-19</t>
  </si>
  <si>
    <t>ORD-100809</t>
  </si>
  <si>
    <t>ORD-100204</t>
  </si>
  <si>
    <t>2024-12-20</t>
  </si>
  <si>
    <t>ORD-100813</t>
  </si>
  <si>
    <t>2024-12-21</t>
  </si>
  <si>
    <t>ORD-100389</t>
  </si>
  <si>
    <t>ORD-100185</t>
  </si>
  <si>
    <t>ORD-100800</t>
  </si>
  <si>
    <t>ORD-100840</t>
  </si>
  <si>
    <t>2024-12-22</t>
  </si>
  <si>
    <t>ORD-100136</t>
  </si>
  <si>
    <t>ORD-100133</t>
  </si>
  <si>
    <t>ORD-100165</t>
  </si>
  <si>
    <t>ORD-100258</t>
  </si>
  <si>
    <t>ORD-100326</t>
  </si>
  <si>
    <t>ORD-100042</t>
  </si>
  <si>
    <t>2024-12-23</t>
  </si>
  <si>
    <t>ORD-100356</t>
  </si>
  <si>
    <t>ORD-100492</t>
  </si>
  <si>
    <t>2024-12-24</t>
  </si>
  <si>
    <t>ORD-100308</t>
  </si>
  <si>
    <t>ORD-100337</t>
  </si>
  <si>
    <t>ORD-100514</t>
  </si>
  <si>
    <t>2024-12-25</t>
  </si>
  <si>
    <t>ORD-100692</t>
  </si>
  <si>
    <t>ORD-100554</t>
  </si>
  <si>
    <t>ORD-100081</t>
  </si>
  <si>
    <t>2024-12-26</t>
  </si>
  <si>
    <t>ORD-100586</t>
  </si>
  <si>
    <t>ORD-100153</t>
  </si>
  <si>
    <t>ORD-100028</t>
  </si>
  <si>
    <t>ORD-100550</t>
  </si>
  <si>
    <t>2024-12-27</t>
  </si>
  <si>
    <t>ORD-100390</t>
  </si>
  <si>
    <t>ORD-100496</t>
  </si>
  <si>
    <t>2024-12-28</t>
  </si>
  <si>
    <t>ORD-100730</t>
  </si>
  <si>
    <t>ORD-100268</t>
  </si>
  <si>
    <t>Management-Level Sales Performance Dashboard</t>
  </si>
  <si>
    <t>KPI Summary — Business Snapshot (Task 2)</t>
  </si>
  <si>
    <t>Total Sales</t>
  </si>
  <si>
    <t>Total Profit</t>
  </si>
  <si>
    <t>Average Profit Margin</t>
  </si>
  <si>
    <t>Total Quantity Sold</t>
  </si>
  <si>
    <t>Sales &amp; Profit by Region</t>
  </si>
  <si>
    <t>Sales &amp; Profit by Category</t>
  </si>
  <si>
    <t>Monthly Sales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</si>
  <si>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</si>
  <si>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</si>
  <si>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</si>
  <si>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</si>
  <si>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</si>
  <si>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</si>
  <si>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</si>
  <si>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</si>
  <si>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</si>
  <si>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</si>
  <si>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</si>
  <si>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</si>
  <si>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</si>
  <si>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Products by Sales</t>
  </si>
  <si>
    <t>Rank</t>
  </si>
  <si>
    <t>Bottom 5 Products by Sales</t>
  </si>
  <si>
    <t>Trend &amp; Performance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</si>
</sst>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%"/>
    <numFmt numFmtId="167" formatCode="\$#,##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3" borderId="0" xfId="0" applyFont="1" applyFill="1"/>
    <xf numFmtId="3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16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Summary'!$C$26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 Summary'!$C$27:$C$38</c:f>
              <c:numCache>
                <c:formatCode>\$#,##0</c:formatCode>
                <c:ptCount val="12"/>
                <c:pt idx="0">
                  <c:v>41463.679999999993</c:v>
                </c:pt>
                <c:pt idx="1">
                  <c:v>49078.130000000005</c:v>
                </c:pt>
                <c:pt idx="2">
                  <c:v>60837.36000000003</c:v>
                </c:pt>
                <c:pt idx="3">
                  <c:v>61162.970000000023</c:v>
                </c:pt>
                <c:pt idx="4">
                  <c:v>51164.37999999999</c:v>
                </c:pt>
                <c:pt idx="5">
                  <c:v>60837.29</c:v>
                </c:pt>
                <c:pt idx="6">
                  <c:v>32762.880000000005</c:v>
                </c:pt>
                <c:pt idx="7">
                  <c:v>60321.280000000021</c:v>
                </c:pt>
                <c:pt idx="8">
                  <c:v>66124.540000000008</c:v>
                </c:pt>
                <c:pt idx="9">
                  <c:v>53614.55999999999</c:v>
                </c:pt>
                <c:pt idx="10">
                  <c:v>50917.30000000001</c:v>
                </c:pt>
                <c:pt idx="11">
                  <c:v>65334.319999999992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4E-4F95-AE77-3EA4A50D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551083"/>
        <c:axId val="44224811"/>
      </c:lineChart>
      <c:catAx>
        <c:axId val="66551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224811"/>
        <c:crosses val="autoZero"/>
        <c:auto val="1"/>
        <c:lblAlgn val="ctr"/>
        <c:lblOffset val="100"/>
        <c:noMultiLvlLbl val="0"/>
      </c:catAx>
      <c:valAx>
        <c:axId val="442248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51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Summary'!$D$10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Summary'!$B$11:$B$14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'KPI Summary'!$D$11:$D$14</c:f>
              <c:numCache>
                <c:formatCode>\$#,##0</c:formatCode>
                <c:ptCount val="4"/>
                <c:pt idx="0">
                  <c:v>54686.950000000019</c:v>
                </c:pt>
                <c:pt idx="1">
                  <c:v>43195.94</c:v>
                </c:pt>
                <c:pt idx="2">
                  <c:v>57573.51999999999</c:v>
                </c:pt>
                <c:pt idx="3">
                  <c:v>50102.259999999973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B-4E1D-99ED-C563C2D6B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89061"/>
        <c:axId val="62408351"/>
      </c:barChart>
      <c:catAx>
        <c:axId val="71889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08351"/>
        <c:crosses val="autoZero"/>
        <c:auto val="1"/>
        <c:lblAlgn val="ctr"/>
        <c:lblOffset val="100"/>
        <c:noMultiLvlLbl val="0"/>
      </c:catAx>
      <c:valAx>
        <c:axId val="62408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889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Contribution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'KPI Summary'!$C$18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2C4-4B0E-8B56-A555A2F5497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2C4-4B0E-8B56-A555A2F5497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2C4-4B0E-8B56-A555A2F5497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2C4-4B0E-8B56-A555A2F5497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2C4-4B0E-8B56-A555A2F5497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2C4-4B0E-8B56-A555A2F5497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2C4-4B0E-8B56-A555A2F5497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2C4-4B0E-8B56-A555A2F54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'KPI Summary'!$B$19:$B$22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&amp; Office</c:v>
                </c:pt>
                <c:pt idx="3">
                  <c:v>Stationery</c:v>
                </c:pt>
              </c:strCache>
            </c:strRef>
          </c:cat>
          <c:val>
            <c:numRef>
              <c:f>'KPI Summary'!$C$19:$C$22</c:f>
              <c:numCache>
                <c:formatCode>\$#,##0</c:formatCode>
                <c:ptCount val="4"/>
                <c:pt idx="0">
                  <c:v>154137.95000000007</c:v>
                </c:pt>
                <c:pt idx="1">
                  <c:v>175844.81000000017</c:v>
                </c:pt>
                <c:pt idx="2">
                  <c:v>150958.1700000001</c:v>
                </c:pt>
                <c:pt idx="3">
                  <c:v>172677.75999999998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C4-4B0E-8B56-A555A2F54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Summary'!$D$42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Summary'!$C$43:$C$52</c:f>
              <c:strCache>
                <c:ptCount val="10"/>
                <c:pt idx="0">
                  <c:v>Coffee Maker</c:v>
                </c:pt>
                <c:pt idx="1">
                  <c:v>Ballpoint Pen Pack</c:v>
                </c:pt>
                <c:pt idx="2">
                  <c:v>Filing Cabinet</c:v>
                </c:pt>
                <c:pt idx="3">
                  <c:v>Bluetooth Speaker</c:v>
                </c:pt>
                <c:pt idx="4">
                  <c:v>Whiteboard</c:v>
                </c:pt>
                <c:pt idx="5">
                  <c:v>Printer</c:v>
                </c:pt>
                <c:pt idx="6">
                  <c:v>Wall Clock</c:v>
                </c:pt>
                <c:pt idx="7">
                  <c:v>Desk Organizer</c:v>
                </c:pt>
                <c:pt idx="8">
                  <c:v>Office Chair</c:v>
                </c:pt>
                <c:pt idx="9">
                  <c:v>Bookshelf</c:v>
                </c:pt>
              </c:strCache>
            </c:strRef>
          </c:cat>
          <c:val>
            <c:numRef>
              <c:f>'KPI Summary'!$D$43:$D$52</c:f>
              <c:numCache>
                <c:formatCode>\$#,##0</c:formatCode>
                <c:ptCount val="10"/>
                <c:pt idx="0">
                  <c:v>59306.87000000001</c:v>
                </c:pt>
                <c:pt idx="1">
                  <c:v>58616.819999999985</c:v>
                </c:pt>
                <c:pt idx="2">
                  <c:v>56713.379999999983</c:v>
                </c:pt>
                <c:pt idx="3">
                  <c:v>53113.089999999989</c:v>
                </c:pt>
                <c:pt idx="4">
                  <c:v>47787.529999999984</c:v>
                </c:pt>
                <c:pt idx="5">
                  <c:v>46076.75</c:v>
                </c:pt>
                <c:pt idx="6">
                  <c:v>44496.119999999995</c:v>
                </c:pt>
                <c:pt idx="7">
                  <c:v>39711.870000000003</c:v>
                </c:pt>
                <c:pt idx="8">
                  <c:v>38261.85</c:v>
                </c:pt>
                <c:pt idx="9">
                  <c:v>36460.519999999997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C-42B0-8BA9-CAFFFDCB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14663"/>
        <c:axId val="8968820"/>
      </c:barChart>
      <c:catAx>
        <c:axId val="609146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8820"/>
        <c:crosses val="autoZero"/>
        <c:auto val="1"/>
        <c:lblAlgn val="ctr"/>
        <c:lblOffset val="100"/>
        <c:noMultiLvlLbl val="0"/>
      </c:catAx>
      <c:valAx>
        <c:axId val="89688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14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2</xdr:row>
      <xdr:rowOff>92940</xdr:rowOff>
    </xdr:from>
    <xdr:to>
      <xdr:col>8</xdr:col>
      <xdr:colOff>586740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281940</xdr:colOff>
      <xdr:row>2</xdr:row>
      <xdr:rowOff>100560</xdr:rowOff>
    </xdr:from>
    <xdr:to>
      <xdr:col>24</xdr:col>
      <xdr:colOff>381000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131040</xdr:rowOff>
    </xdr:from>
    <xdr:to>
      <xdr:col>10</xdr:col>
      <xdr:colOff>256320</xdr:colOff>
      <xdr:row>53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30480</xdr:colOff>
      <xdr:row>2</xdr:row>
      <xdr:rowOff>91440</xdr:rowOff>
    </xdr:from>
    <xdr:to>
      <xdr:col>17</xdr:col>
      <xdr:colOff>220980</xdr:colOff>
      <xdr:row>20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851" totalsRowShown="0">
  <autoFilter ref="A1:J851" xr:uid="{00000000-0009-0000-0100-000001000000}"/>
  <tableColumns count="10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Product"/>
    <tableColumn id="5" xr3:uid="{00000000-0010-0000-0000-000005000000}" name="Category"/>
    <tableColumn id="6" xr3:uid="{00000000-0010-0000-0000-000006000000}" name="Sales"/>
    <tableColumn id="7" xr3:uid="{00000000-0010-0000-0000-000007000000}" name="Profit"/>
    <tableColumn id="8" xr3:uid="{00000000-0010-0000-0000-000008000000}" name="Quantity"/>
    <tableColumn id="9" xr3:uid="{00000000-0010-0000-0000-000009000000}" name="Profit Margin"/>
    <tableColumn id="10" xr3:uid="{00000000-0010-0000-0000-00000A000000}" name="Sales 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1"/>
  <sheetViews>
    <sheetView tabSelected="1" zoomScaleNormal="100" workbookViewId="0">
      <pane ySplit="1" topLeftCell="A2" activePane="bottomLeft" state="frozen"/>
      <selection pane="bottomLeft" activeCell="N8" sqref="N8"/>
    </sheetView>
  </sheetViews>
  <sheetFormatPr defaultColWidth="8.6640625" defaultRowHeight="14.4" x14ac:dyDescent="0.3"/>
  <cols>
    <col min="1" max="1" width="13.5546875" bestFit="1" customWidth="1"/>
    <col min="2" max="2" width="16" bestFit="1" customWidth="1"/>
    <col min="3" max="3" width="12.33203125" bestFit="1" customWidth="1"/>
    <col min="4" max="4" width="18.88671875" bestFit="1" customWidth="1"/>
    <col min="5" max="5" width="14.33203125" bestFit="1" customWidth="1"/>
    <col min="6" max="6" width="10.77734375" bestFit="1" customWidth="1"/>
    <col min="7" max="7" width="10.6640625" bestFit="1" customWidth="1"/>
    <col min="8" max="8" width="13.6640625" bestFit="1" customWidth="1"/>
    <col min="9" max="9" width="17.88671875" bestFit="1" customWidth="1"/>
    <col min="10" max="10" width="20.332031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7" t="s">
        <v>10</v>
      </c>
      <c r="B2" s="8" t="s">
        <v>11</v>
      </c>
      <c r="C2" s="7" t="s">
        <v>12</v>
      </c>
      <c r="D2" s="7" t="s">
        <v>13</v>
      </c>
      <c r="E2" s="7" t="s">
        <v>14</v>
      </c>
      <c r="F2" s="9">
        <v>1782.8</v>
      </c>
      <c r="G2" s="9">
        <v>335.64</v>
      </c>
      <c r="H2" s="7">
        <v>5</v>
      </c>
      <c r="I2" s="10">
        <f t="shared" ref="I2:I65" si="0">IFERROR(G2/F2,0)</f>
        <v>0.18826564954004935</v>
      </c>
      <c r="J2" s="7" t="str">
        <f t="shared" ref="J2:J65" si="1">IF(F2&gt;5000,"High",IF(F2&gt;1500,"Medium","Low"))</f>
        <v>Medium</v>
      </c>
    </row>
    <row r="3" spans="1:10" x14ac:dyDescent="0.3">
      <c r="A3" s="7" t="s">
        <v>15</v>
      </c>
      <c r="B3" s="8" t="s">
        <v>16</v>
      </c>
      <c r="C3" s="7" t="s">
        <v>12</v>
      </c>
      <c r="D3" s="7" t="s">
        <v>17</v>
      </c>
      <c r="E3" s="7" t="s">
        <v>18</v>
      </c>
      <c r="F3" s="9">
        <v>721.48</v>
      </c>
      <c r="G3" s="9">
        <v>190.89</v>
      </c>
      <c r="H3" s="7">
        <v>2</v>
      </c>
      <c r="I3" s="10">
        <f t="shared" si="0"/>
        <v>0.26458113877030548</v>
      </c>
      <c r="J3" s="7" t="str">
        <f t="shared" si="1"/>
        <v>Low</v>
      </c>
    </row>
    <row r="4" spans="1:10" x14ac:dyDescent="0.3">
      <c r="A4" s="7" t="s">
        <v>19</v>
      </c>
      <c r="B4" s="8" t="s">
        <v>16</v>
      </c>
      <c r="C4" s="7" t="s">
        <v>20</v>
      </c>
      <c r="D4" s="7" t="s">
        <v>13</v>
      </c>
      <c r="E4" s="7" t="s">
        <v>14</v>
      </c>
      <c r="F4" s="9">
        <v>776.1</v>
      </c>
      <c r="G4" s="9">
        <v>230.54</v>
      </c>
      <c r="H4" s="7">
        <v>2</v>
      </c>
      <c r="I4" s="10">
        <f t="shared" si="0"/>
        <v>0.2970493493106558</v>
      </c>
      <c r="J4" s="7" t="str">
        <f t="shared" si="1"/>
        <v>Low</v>
      </c>
    </row>
    <row r="5" spans="1:10" x14ac:dyDescent="0.3">
      <c r="A5" s="7" t="s">
        <v>21</v>
      </c>
      <c r="B5" s="8" t="s">
        <v>16</v>
      </c>
      <c r="C5" s="7" t="s">
        <v>22</v>
      </c>
      <c r="D5" s="7" t="s">
        <v>23</v>
      </c>
      <c r="E5" s="7" t="s">
        <v>24</v>
      </c>
      <c r="F5" s="9">
        <v>206.2</v>
      </c>
      <c r="G5" s="9">
        <v>53.57</v>
      </c>
      <c r="H5" s="7">
        <v>2</v>
      </c>
      <c r="I5" s="10">
        <f t="shared" si="0"/>
        <v>0.25979631425800198</v>
      </c>
      <c r="J5" s="7" t="str">
        <f t="shared" si="1"/>
        <v>Low</v>
      </c>
    </row>
    <row r="6" spans="1:10" x14ac:dyDescent="0.3">
      <c r="A6" s="7" t="s">
        <v>25</v>
      </c>
      <c r="B6" s="8" t="s">
        <v>26</v>
      </c>
      <c r="C6" s="7" t="s">
        <v>20</v>
      </c>
      <c r="D6" s="7" t="s">
        <v>27</v>
      </c>
      <c r="E6" s="7" t="s">
        <v>28</v>
      </c>
      <c r="F6" s="9">
        <v>316.87</v>
      </c>
      <c r="G6" s="9">
        <v>57.05</v>
      </c>
      <c r="H6" s="7">
        <v>1</v>
      </c>
      <c r="I6" s="10">
        <f t="shared" si="0"/>
        <v>0.18004228863571811</v>
      </c>
      <c r="J6" s="7" t="str">
        <f t="shared" si="1"/>
        <v>Low</v>
      </c>
    </row>
    <row r="7" spans="1:10" x14ac:dyDescent="0.3">
      <c r="A7" s="7" t="s">
        <v>29</v>
      </c>
      <c r="B7" s="8" t="s">
        <v>26</v>
      </c>
      <c r="C7" s="7" t="s">
        <v>22</v>
      </c>
      <c r="D7" s="7" t="s">
        <v>13</v>
      </c>
      <c r="E7" s="7" t="s">
        <v>14</v>
      </c>
      <c r="F7" s="9">
        <v>2272.14</v>
      </c>
      <c r="G7" s="9">
        <v>621.5</v>
      </c>
      <c r="H7" s="7">
        <v>6</v>
      </c>
      <c r="I7" s="10">
        <f t="shared" si="0"/>
        <v>0.2735306803277967</v>
      </c>
      <c r="J7" s="7" t="str">
        <f t="shared" si="1"/>
        <v>Medium</v>
      </c>
    </row>
    <row r="8" spans="1:10" x14ac:dyDescent="0.3">
      <c r="A8" s="7" t="s">
        <v>30</v>
      </c>
      <c r="B8" s="8" t="s">
        <v>31</v>
      </c>
      <c r="C8" s="7" t="s">
        <v>32</v>
      </c>
      <c r="D8" s="7" t="s">
        <v>17</v>
      </c>
      <c r="E8" s="7" t="s">
        <v>18</v>
      </c>
      <c r="F8" s="9">
        <v>1933.2</v>
      </c>
      <c r="G8" s="9">
        <v>602.04999999999995</v>
      </c>
      <c r="H8" s="7">
        <v>5</v>
      </c>
      <c r="I8" s="10">
        <f t="shared" si="0"/>
        <v>0.31142665011380094</v>
      </c>
      <c r="J8" s="7" t="str">
        <f t="shared" si="1"/>
        <v>Medium</v>
      </c>
    </row>
    <row r="9" spans="1:10" x14ac:dyDescent="0.3">
      <c r="A9" s="7" t="s">
        <v>33</v>
      </c>
      <c r="B9" s="8" t="s">
        <v>31</v>
      </c>
      <c r="C9" s="7" t="s">
        <v>12</v>
      </c>
      <c r="D9" s="7" t="s">
        <v>34</v>
      </c>
      <c r="E9" s="7" t="s">
        <v>24</v>
      </c>
      <c r="F9" s="9">
        <v>2146.3200000000002</v>
      </c>
      <c r="G9" s="9">
        <v>491.16</v>
      </c>
      <c r="H9" s="7">
        <v>6</v>
      </c>
      <c r="I9" s="10">
        <f t="shared" si="0"/>
        <v>0.22883819747288381</v>
      </c>
      <c r="J9" s="7" t="str">
        <f t="shared" si="1"/>
        <v>Medium</v>
      </c>
    </row>
    <row r="10" spans="1:10" x14ac:dyDescent="0.3">
      <c r="A10" s="7" t="s">
        <v>35</v>
      </c>
      <c r="B10" s="8" t="s">
        <v>31</v>
      </c>
      <c r="C10" s="7" t="s">
        <v>22</v>
      </c>
      <c r="D10" s="7" t="s">
        <v>23</v>
      </c>
      <c r="E10" s="7" t="s">
        <v>24</v>
      </c>
      <c r="F10" s="9">
        <v>580.55999999999995</v>
      </c>
      <c r="G10" s="9">
        <v>125.25</v>
      </c>
      <c r="H10" s="7">
        <v>6</v>
      </c>
      <c r="I10" s="10">
        <f t="shared" si="0"/>
        <v>0.21573997519636215</v>
      </c>
      <c r="J10" s="7" t="str">
        <f t="shared" si="1"/>
        <v>Low</v>
      </c>
    </row>
    <row r="11" spans="1:10" x14ac:dyDescent="0.3">
      <c r="A11" s="7" t="s">
        <v>36</v>
      </c>
      <c r="B11" s="8" t="s">
        <v>37</v>
      </c>
      <c r="C11" s="7" t="s">
        <v>32</v>
      </c>
      <c r="D11" s="7" t="s">
        <v>38</v>
      </c>
      <c r="E11" s="7" t="s">
        <v>18</v>
      </c>
      <c r="F11" s="9">
        <v>1807.2</v>
      </c>
      <c r="G11" s="9">
        <v>413.07</v>
      </c>
      <c r="H11" s="7">
        <v>5</v>
      </c>
      <c r="I11" s="10">
        <f t="shared" si="0"/>
        <v>0.22856905710491368</v>
      </c>
      <c r="J11" s="7" t="str">
        <f t="shared" si="1"/>
        <v>Medium</v>
      </c>
    </row>
    <row r="12" spans="1:10" x14ac:dyDescent="0.3">
      <c r="A12" s="7" t="s">
        <v>39</v>
      </c>
      <c r="B12" s="8" t="s">
        <v>40</v>
      </c>
      <c r="C12" s="7" t="s">
        <v>32</v>
      </c>
      <c r="D12" s="7" t="s">
        <v>41</v>
      </c>
      <c r="E12" s="7" t="s">
        <v>28</v>
      </c>
      <c r="F12" s="9">
        <v>283.94</v>
      </c>
      <c r="G12" s="9">
        <v>123.21</v>
      </c>
      <c r="H12" s="7">
        <v>1</v>
      </c>
      <c r="I12" s="10">
        <f t="shared" si="0"/>
        <v>0.43392970345847715</v>
      </c>
      <c r="J12" s="7" t="str">
        <f t="shared" si="1"/>
        <v>Low</v>
      </c>
    </row>
    <row r="13" spans="1:10" x14ac:dyDescent="0.3">
      <c r="A13" s="7" t="s">
        <v>42</v>
      </c>
      <c r="B13" s="8" t="s">
        <v>40</v>
      </c>
      <c r="C13" s="7" t="s">
        <v>12</v>
      </c>
      <c r="D13" s="7" t="s">
        <v>43</v>
      </c>
      <c r="E13" s="7" t="s">
        <v>24</v>
      </c>
      <c r="F13" s="9">
        <v>105.17</v>
      </c>
      <c r="G13" s="9">
        <v>29.73</v>
      </c>
      <c r="H13" s="7">
        <v>1</v>
      </c>
      <c r="I13" s="10">
        <f t="shared" si="0"/>
        <v>0.28268517638109725</v>
      </c>
      <c r="J13" s="7" t="str">
        <f t="shared" si="1"/>
        <v>Low</v>
      </c>
    </row>
    <row r="14" spans="1:10" x14ac:dyDescent="0.3">
      <c r="A14" s="7" t="s">
        <v>44</v>
      </c>
      <c r="B14" s="8" t="s">
        <v>45</v>
      </c>
      <c r="C14" s="7" t="s">
        <v>12</v>
      </c>
      <c r="D14" s="7" t="s">
        <v>17</v>
      </c>
      <c r="E14" s="7" t="s">
        <v>18</v>
      </c>
      <c r="F14" s="9">
        <v>1080.96</v>
      </c>
      <c r="G14" s="9">
        <v>259.14999999999998</v>
      </c>
      <c r="H14" s="7">
        <v>3</v>
      </c>
      <c r="I14" s="10">
        <f t="shared" si="0"/>
        <v>0.23974060094730607</v>
      </c>
      <c r="J14" s="7" t="str">
        <f t="shared" si="1"/>
        <v>Low</v>
      </c>
    </row>
    <row r="15" spans="1:10" x14ac:dyDescent="0.3">
      <c r="A15" s="7" t="s">
        <v>46</v>
      </c>
      <c r="B15" s="8" t="s">
        <v>45</v>
      </c>
      <c r="C15" s="7" t="s">
        <v>32</v>
      </c>
      <c r="D15" s="7" t="s">
        <v>38</v>
      </c>
      <c r="E15" s="7" t="s">
        <v>18</v>
      </c>
      <c r="F15" s="9">
        <v>382.27</v>
      </c>
      <c r="G15" s="9">
        <v>111.53</v>
      </c>
      <c r="H15" s="7">
        <v>1</v>
      </c>
      <c r="I15" s="10">
        <f t="shared" si="0"/>
        <v>0.29175713500928663</v>
      </c>
      <c r="J15" s="7" t="str">
        <f t="shared" si="1"/>
        <v>Low</v>
      </c>
    </row>
    <row r="16" spans="1:10" x14ac:dyDescent="0.3">
      <c r="A16" s="7" t="s">
        <v>47</v>
      </c>
      <c r="B16" s="8" t="s">
        <v>45</v>
      </c>
      <c r="C16" s="7" t="s">
        <v>22</v>
      </c>
      <c r="D16" s="7" t="s">
        <v>43</v>
      </c>
      <c r="E16" s="7" t="s">
        <v>24</v>
      </c>
      <c r="F16" s="9">
        <v>98.19</v>
      </c>
      <c r="G16" s="9">
        <v>22.09</v>
      </c>
      <c r="H16" s="7">
        <v>1</v>
      </c>
      <c r="I16" s="10">
        <f t="shared" si="0"/>
        <v>0.22497199307465118</v>
      </c>
      <c r="J16" s="7" t="str">
        <f t="shared" si="1"/>
        <v>Low</v>
      </c>
    </row>
    <row r="17" spans="1:10" x14ac:dyDescent="0.3">
      <c r="A17" s="7" t="s">
        <v>48</v>
      </c>
      <c r="B17" s="8" t="s">
        <v>49</v>
      </c>
      <c r="C17" s="7" t="s">
        <v>22</v>
      </c>
      <c r="D17" s="7" t="s">
        <v>50</v>
      </c>
      <c r="E17" s="7" t="s">
        <v>14</v>
      </c>
      <c r="F17" s="9">
        <v>143.04</v>
      </c>
      <c r="G17" s="9">
        <v>55.6</v>
      </c>
      <c r="H17" s="7">
        <v>3</v>
      </c>
      <c r="I17" s="10">
        <f t="shared" si="0"/>
        <v>0.3887024608501119</v>
      </c>
      <c r="J17" s="7" t="str">
        <f t="shared" si="1"/>
        <v>Low</v>
      </c>
    </row>
    <row r="18" spans="1:10" x14ac:dyDescent="0.3">
      <c r="A18" s="7" t="s">
        <v>51</v>
      </c>
      <c r="B18" s="8" t="s">
        <v>49</v>
      </c>
      <c r="C18" s="7" t="s">
        <v>12</v>
      </c>
      <c r="D18" s="7" t="s">
        <v>17</v>
      </c>
      <c r="E18" s="7" t="s">
        <v>18</v>
      </c>
      <c r="F18" s="9">
        <v>778.8</v>
      </c>
      <c r="G18" s="9">
        <v>226.01</v>
      </c>
      <c r="H18" s="7">
        <v>2</v>
      </c>
      <c r="I18" s="10">
        <f t="shared" si="0"/>
        <v>0.29020287621982538</v>
      </c>
      <c r="J18" s="7" t="str">
        <f t="shared" si="1"/>
        <v>Low</v>
      </c>
    </row>
    <row r="19" spans="1:10" x14ac:dyDescent="0.3">
      <c r="A19" s="7" t="s">
        <v>52</v>
      </c>
      <c r="B19" s="8" t="s">
        <v>53</v>
      </c>
      <c r="C19" s="7" t="s">
        <v>12</v>
      </c>
      <c r="D19" s="7" t="s">
        <v>54</v>
      </c>
      <c r="E19" s="7" t="s">
        <v>28</v>
      </c>
      <c r="F19" s="9">
        <v>399.93</v>
      </c>
      <c r="G19" s="9">
        <v>164.96</v>
      </c>
      <c r="H19" s="7">
        <v>3</v>
      </c>
      <c r="I19" s="10">
        <f t="shared" si="0"/>
        <v>0.41247218263196062</v>
      </c>
      <c r="J19" s="7" t="str">
        <f t="shared" si="1"/>
        <v>Low</v>
      </c>
    </row>
    <row r="20" spans="1:10" x14ac:dyDescent="0.3">
      <c r="A20" s="7" t="s">
        <v>55</v>
      </c>
      <c r="B20" s="8" t="s">
        <v>56</v>
      </c>
      <c r="C20" s="7" t="s">
        <v>20</v>
      </c>
      <c r="D20" s="7" t="s">
        <v>57</v>
      </c>
      <c r="E20" s="7" t="s">
        <v>18</v>
      </c>
      <c r="F20" s="9">
        <v>335.16</v>
      </c>
      <c r="G20" s="9">
        <v>85.3</v>
      </c>
      <c r="H20" s="7">
        <v>2</v>
      </c>
      <c r="I20" s="10">
        <f t="shared" si="0"/>
        <v>0.25450531089628831</v>
      </c>
      <c r="J20" s="7" t="str">
        <f t="shared" si="1"/>
        <v>Low</v>
      </c>
    </row>
    <row r="21" spans="1:10" x14ac:dyDescent="0.3">
      <c r="A21" s="7" t="s">
        <v>58</v>
      </c>
      <c r="B21" s="8" t="s">
        <v>59</v>
      </c>
      <c r="C21" s="7" t="s">
        <v>12</v>
      </c>
      <c r="D21" s="7" t="s">
        <v>60</v>
      </c>
      <c r="E21" s="7" t="s">
        <v>28</v>
      </c>
      <c r="F21" s="9">
        <v>752.6</v>
      </c>
      <c r="G21" s="9">
        <v>273.64</v>
      </c>
      <c r="H21" s="7">
        <v>2</v>
      </c>
      <c r="I21" s="10">
        <f t="shared" si="0"/>
        <v>0.36359287802285406</v>
      </c>
      <c r="J21" s="7" t="str">
        <f t="shared" si="1"/>
        <v>Low</v>
      </c>
    </row>
    <row r="22" spans="1:10" x14ac:dyDescent="0.3">
      <c r="A22" s="7" t="s">
        <v>61</v>
      </c>
      <c r="B22" s="8" t="s">
        <v>59</v>
      </c>
      <c r="C22" s="7" t="s">
        <v>12</v>
      </c>
      <c r="D22" s="7" t="s">
        <v>57</v>
      </c>
      <c r="E22" s="7" t="s">
        <v>18</v>
      </c>
      <c r="F22" s="9">
        <v>548.13</v>
      </c>
      <c r="G22" s="9">
        <v>162.85</v>
      </c>
      <c r="H22" s="7">
        <v>3</v>
      </c>
      <c r="I22" s="10">
        <f t="shared" si="0"/>
        <v>0.29710105266998704</v>
      </c>
      <c r="J22" s="7" t="str">
        <f t="shared" si="1"/>
        <v>Low</v>
      </c>
    </row>
    <row r="23" spans="1:10" x14ac:dyDescent="0.3">
      <c r="A23" s="7" t="s">
        <v>62</v>
      </c>
      <c r="B23" s="8" t="s">
        <v>59</v>
      </c>
      <c r="C23" s="7" t="s">
        <v>12</v>
      </c>
      <c r="D23" s="7" t="s">
        <v>63</v>
      </c>
      <c r="E23" s="7" t="s">
        <v>28</v>
      </c>
      <c r="F23" s="9">
        <v>814.68</v>
      </c>
      <c r="G23" s="9">
        <v>373.5</v>
      </c>
      <c r="H23" s="7">
        <v>4</v>
      </c>
      <c r="I23" s="10">
        <f t="shared" si="0"/>
        <v>0.45846221829429962</v>
      </c>
      <c r="J23" s="7" t="str">
        <f t="shared" si="1"/>
        <v>Low</v>
      </c>
    </row>
    <row r="24" spans="1:10" x14ac:dyDescent="0.3">
      <c r="A24" s="7" t="s">
        <v>64</v>
      </c>
      <c r="B24" s="8" t="s">
        <v>65</v>
      </c>
      <c r="C24" s="7" t="s">
        <v>22</v>
      </c>
      <c r="D24" s="7" t="s">
        <v>34</v>
      </c>
      <c r="E24" s="7" t="s">
        <v>24</v>
      </c>
      <c r="F24" s="9">
        <v>763.38</v>
      </c>
      <c r="G24" s="9">
        <v>188.29</v>
      </c>
      <c r="H24" s="7">
        <v>2</v>
      </c>
      <c r="I24" s="10">
        <f t="shared" si="0"/>
        <v>0.24665304304540334</v>
      </c>
      <c r="J24" s="7" t="str">
        <f t="shared" si="1"/>
        <v>Low</v>
      </c>
    </row>
    <row r="25" spans="1:10" x14ac:dyDescent="0.3">
      <c r="A25" s="7" t="s">
        <v>66</v>
      </c>
      <c r="B25" s="8" t="s">
        <v>65</v>
      </c>
      <c r="C25" s="7" t="s">
        <v>32</v>
      </c>
      <c r="D25" s="7" t="s">
        <v>57</v>
      </c>
      <c r="E25" s="7" t="s">
        <v>18</v>
      </c>
      <c r="F25" s="9">
        <v>875.7</v>
      </c>
      <c r="G25" s="9">
        <v>248.84</v>
      </c>
      <c r="H25" s="7">
        <v>5</v>
      </c>
      <c r="I25" s="10">
        <f t="shared" si="0"/>
        <v>0.28416124243462371</v>
      </c>
      <c r="J25" s="7" t="str">
        <f t="shared" si="1"/>
        <v>Low</v>
      </c>
    </row>
    <row r="26" spans="1:10" x14ac:dyDescent="0.3">
      <c r="A26" s="7" t="s">
        <v>67</v>
      </c>
      <c r="B26" s="8" t="s">
        <v>65</v>
      </c>
      <c r="C26" s="7" t="s">
        <v>12</v>
      </c>
      <c r="D26" s="7" t="s">
        <v>54</v>
      </c>
      <c r="E26" s="7" t="s">
        <v>28</v>
      </c>
      <c r="F26" s="9">
        <v>132.86000000000001</v>
      </c>
      <c r="G26" s="9">
        <v>49.34</v>
      </c>
      <c r="H26" s="7">
        <v>1</v>
      </c>
      <c r="I26" s="10">
        <f t="shared" si="0"/>
        <v>0.37136835766972753</v>
      </c>
      <c r="J26" s="7" t="str">
        <f t="shared" si="1"/>
        <v>Low</v>
      </c>
    </row>
    <row r="27" spans="1:10" x14ac:dyDescent="0.3">
      <c r="A27" s="7" t="s">
        <v>68</v>
      </c>
      <c r="B27" s="8" t="s">
        <v>65</v>
      </c>
      <c r="C27" s="7" t="s">
        <v>20</v>
      </c>
      <c r="D27" s="7" t="s">
        <v>60</v>
      </c>
      <c r="E27" s="7" t="s">
        <v>28</v>
      </c>
      <c r="F27" s="9">
        <v>1261.3800000000001</v>
      </c>
      <c r="G27" s="9">
        <v>595.24</v>
      </c>
      <c r="H27" s="7">
        <v>3</v>
      </c>
      <c r="I27" s="10">
        <f t="shared" si="0"/>
        <v>0.47189586008974294</v>
      </c>
      <c r="J27" s="7" t="str">
        <f t="shared" si="1"/>
        <v>Low</v>
      </c>
    </row>
    <row r="28" spans="1:10" x14ac:dyDescent="0.3">
      <c r="A28" s="7" t="s">
        <v>69</v>
      </c>
      <c r="B28" s="8" t="s">
        <v>65</v>
      </c>
      <c r="C28" s="7" t="s">
        <v>12</v>
      </c>
      <c r="D28" s="7" t="s">
        <v>70</v>
      </c>
      <c r="E28" s="7" t="s">
        <v>14</v>
      </c>
      <c r="F28" s="9">
        <v>687.34</v>
      </c>
      <c r="G28" s="9">
        <v>111.38</v>
      </c>
      <c r="H28" s="7">
        <v>2</v>
      </c>
      <c r="I28" s="10">
        <f t="shared" si="0"/>
        <v>0.1620449850146943</v>
      </c>
      <c r="J28" s="7" t="str">
        <f t="shared" si="1"/>
        <v>Low</v>
      </c>
    </row>
    <row r="29" spans="1:10" x14ac:dyDescent="0.3">
      <c r="A29" s="7" t="s">
        <v>71</v>
      </c>
      <c r="B29" s="8" t="s">
        <v>72</v>
      </c>
      <c r="C29" s="7" t="s">
        <v>32</v>
      </c>
      <c r="D29" s="7" t="s">
        <v>13</v>
      </c>
      <c r="E29" s="7" t="s">
        <v>14</v>
      </c>
      <c r="F29" s="9">
        <v>1872.25</v>
      </c>
      <c r="G29" s="9">
        <v>442.52</v>
      </c>
      <c r="H29" s="7">
        <v>5</v>
      </c>
      <c r="I29" s="10">
        <f t="shared" si="0"/>
        <v>0.23635732407531043</v>
      </c>
      <c r="J29" s="7" t="str">
        <f t="shared" si="1"/>
        <v>Medium</v>
      </c>
    </row>
    <row r="30" spans="1:10" x14ac:dyDescent="0.3">
      <c r="A30" s="7" t="s">
        <v>73</v>
      </c>
      <c r="B30" s="8" t="s">
        <v>72</v>
      </c>
      <c r="C30" s="7" t="s">
        <v>20</v>
      </c>
      <c r="D30" s="7" t="s">
        <v>74</v>
      </c>
      <c r="E30" s="7" t="s">
        <v>18</v>
      </c>
      <c r="F30" s="9">
        <v>713.55</v>
      </c>
      <c r="G30" s="9">
        <v>96.55</v>
      </c>
      <c r="H30" s="7">
        <v>3</v>
      </c>
      <c r="I30" s="10">
        <f t="shared" si="0"/>
        <v>0.13530936864970922</v>
      </c>
      <c r="J30" s="7" t="str">
        <f t="shared" si="1"/>
        <v>Low</v>
      </c>
    </row>
    <row r="31" spans="1:10" x14ac:dyDescent="0.3">
      <c r="A31" s="7" t="s">
        <v>75</v>
      </c>
      <c r="B31" s="8" t="s">
        <v>72</v>
      </c>
      <c r="C31" s="7" t="s">
        <v>12</v>
      </c>
      <c r="D31" s="7" t="s">
        <v>23</v>
      </c>
      <c r="E31" s="7" t="s">
        <v>24</v>
      </c>
      <c r="F31" s="9">
        <v>97.19</v>
      </c>
      <c r="G31" s="9">
        <v>21.12</v>
      </c>
      <c r="H31" s="7">
        <v>1</v>
      </c>
      <c r="I31" s="10">
        <f t="shared" si="0"/>
        <v>0.21730630723325448</v>
      </c>
      <c r="J31" s="7" t="str">
        <f t="shared" si="1"/>
        <v>Low</v>
      </c>
    </row>
    <row r="32" spans="1:10" x14ac:dyDescent="0.3">
      <c r="A32" s="7" t="s">
        <v>76</v>
      </c>
      <c r="B32" s="8" t="s">
        <v>77</v>
      </c>
      <c r="C32" s="7" t="s">
        <v>32</v>
      </c>
      <c r="D32" s="7" t="s">
        <v>27</v>
      </c>
      <c r="E32" s="7" t="s">
        <v>28</v>
      </c>
      <c r="F32" s="9">
        <v>2061.84</v>
      </c>
      <c r="G32" s="9">
        <v>605.26</v>
      </c>
      <c r="H32" s="7">
        <v>6</v>
      </c>
      <c r="I32" s="10">
        <f t="shared" si="0"/>
        <v>0.29355333100531561</v>
      </c>
      <c r="J32" s="7" t="str">
        <f t="shared" si="1"/>
        <v>Medium</v>
      </c>
    </row>
    <row r="33" spans="1:10" x14ac:dyDescent="0.3">
      <c r="A33" s="7" t="s">
        <v>78</v>
      </c>
      <c r="B33" s="8" t="s">
        <v>77</v>
      </c>
      <c r="C33" s="7" t="s">
        <v>32</v>
      </c>
      <c r="D33" s="7" t="s">
        <v>79</v>
      </c>
      <c r="E33" s="7" t="s">
        <v>14</v>
      </c>
      <c r="F33" s="9">
        <v>151.53</v>
      </c>
      <c r="G33" s="9">
        <v>61.46</v>
      </c>
      <c r="H33" s="7">
        <v>1</v>
      </c>
      <c r="I33" s="10">
        <f t="shared" si="0"/>
        <v>0.40559625156734641</v>
      </c>
      <c r="J33" s="7" t="str">
        <f t="shared" si="1"/>
        <v>Low</v>
      </c>
    </row>
    <row r="34" spans="1:10" x14ac:dyDescent="0.3">
      <c r="A34" s="7" t="s">
        <v>80</v>
      </c>
      <c r="B34" s="8" t="s">
        <v>81</v>
      </c>
      <c r="C34" s="7" t="s">
        <v>12</v>
      </c>
      <c r="D34" s="7" t="s">
        <v>74</v>
      </c>
      <c r="E34" s="7" t="s">
        <v>18</v>
      </c>
      <c r="F34" s="9">
        <v>471.96</v>
      </c>
      <c r="G34" s="9">
        <v>54.69</v>
      </c>
      <c r="H34" s="7">
        <v>2</v>
      </c>
      <c r="I34" s="10">
        <f t="shared" si="0"/>
        <v>0.11587846427663362</v>
      </c>
      <c r="J34" s="7" t="str">
        <f t="shared" si="1"/>
        <v>Low</v>
      </c>
    </row>
    <row r="35" spans="1:10" x14ac:dyDescent="0.3">
      <c r="A35" s="7" t="s">
        <v>82</v>
      </c>
      <c r="B35" s="8" t="s">
        <v>81</v>
      </c>
      <c r="C35" s="7" t="s">
        <v>20</v>
      </c>
      <c r="D35" s="7" t="s">
        <v>38</v>
      </c>
      <c r="E35" s="7" t="s">
        <v>18</v>
      </c>
      <c r="F35" s="9">
        <v>1108.29</v>
      </c>
      <c r="G35" s="9">
        <v>287.19</v>
      </c>
      <c r="H35" s="7">
        <v>3</v>
      </c>
      <c r="I35" s="10">
        <f t="shared" si="0"/>
        <v>0.2591289283490783</v>
      </c>
      <c r="J35" s="7" t="str">
        <f t="shared" si="1"/>
        <v>Low</v>
      </c>
    </row>
    <row r="36" spans="1:10" x14ac:dyDescent="0.3">
      <c r="A36" s="7" t="s">
        <v>83</v>
      </c>
      <c r="B36" s="8" t="s">
        <v>81</v>
      </c>
      <c r="C36" s="7" t="s">
        <v>22</v>
      </c>
      <c r="D36" s="7" t="s">
        <v>38</v>
      </c>
      <c r="E36" s="7" t="s">
        <v>18</v>
      </c>
      <c r="F36" s="9">
        <v>386.35</v>
      </c>
      <c r="G36" s="9">
        <v>92.84</v>
      </c>
      <c r="H36" s="7">
        <v>1</v>
      </c>
      <c r="I36" s="10">
        <f t="shared" si="0"/>
        <v>0.24030024589103144</v>
      </c>
      <c r="J36" s="7" t="str">
        <f t="shared" si="1"/>
        <v>Low</v>
      </c>
    </row>
    <row r="37" spans="1:10" x14ac:dyDescent="0.3">
      <c r="A37" s="7" t="s">
        <v>84</v>
      </c>
      <c r="B37" s="8" t="s">
        <v>81</v>
      </c>
      <c r="C37" s="7" t="s">
        <v>20</v>
      </c>
      <c r="D37" s="7" t="s">
        <v>85</v>
      </c>
      <c r="E37" s="7" t="s">
        <v>24</v>
      </c>
      <c r="F37" s="9">
        <v>1389.8</v>
      </c>
      <c r="G37" s="9">
        <v>557.87</v>
      </c>
      <c r="H37" s="7">
        <v>4</v>
      </c>
      <c r="I37" s="10">
        <f t="shared" si="0"/>
        <v>0.40140307957979565</v>
      </c>
      <c r="J37" s="7" t="str">
        <f t="shared" si="1"/>
        <v>Low</v>
      </c>
    </row>
    <row r="38" spans="1:10" x14ac:dyDescent="0.3">
      <c r="A38" s="7" t="s">
        <v>86</v>
      </c>
      <c r="B38" s="8" t="s">
        <v>81</v>
      </c>
      <c r="C38" s="7" t="s">
        <v>12</v>
      </c>
      <c r="D38" s="7" t="s">
        <v>38</v>
      </c>
      <c r="E38" s="7" t="s">
        <v>18</v>
      </c>
      <c r="F38" s="9">
        <v>1200</v>
      </c>
      <c r="G38" s="9">
        <v>318.29000000000002</v>
      </c>
      <c r="H38" s="7">
        <v>3</v>
      </c>
      <c r="I38" s="10">
        <f t="shared" si="0"/>
        <v>0.26524166666666671</v>
      </c>
      <c r="J38" s="7" t="str">
        <f t="shared" si="1"/>
        <v>Low</v>
      </c>
    </row>
    <row r="39" spans="1:10" x14ac:dyDescent="0.3">
      <c r="A39" s="7" t="s">
        <v>87</v>
      </c>
      <c r="B39" s="8" t="s">
        <v>88</v>
      </c>
      <c r="C39" s="7" t="s">
        <v>22</v>
      </c>
      <c r="D39" s="7" t="s">
        <v>89</v>
      </c>
      <c r="E39" s="7" t="s">
        <v>24</v>
      </c>
      <c r="F39" s="9">
        <v>550.26</v>
      </c>
      <c r="G39" s="9">
        <v>146</v>
      </c>
      <c r="H39" s="7">
        <v>2</v>
      </c>
      <c r="I39" s="10">
        <f t="shared" si="0"/>
        <v>0.26532911714462254</v>
      </c>
      <c r="J39" s="7" t="str">
        <f t="shared" si="1"/>
        <v>Low</v>
      </c>
    </row>
    <row r="40" spans="1:10" x14ac:dyDescent="0.3">
      <c r="A40" s="7" t="s">
        <v>90</v>
      </c>
      <c r="B40" s="8" t="s">
        <v>88</v>
      </c>
      <c r="C40" s="7" t="s">
        <v>12</v>
      </c>
      <c r="D40" s="7" t="s">
        <v>41</v>
      </c>
      <c r="E40" s="7" t="s">
        <v>28</v>
      </c>
      <c r="F40" s="9">
        <v>2199.2800000000002</v>
      </c>
      <c r="G40" s="9">
        <v>965.23</v>
      </c>
      <c r="H40" s="7">
        <v>8</v>
      </c>
      <c r="I40" s="10">
        <f t="shared" si="0"/>
        <v>0.43888454403259247</v>
      </c>
      <c r="J40" s="7" t="str">
        <f t="shared" si="1"/>
        <v>Medium</v>
      </c>
    </row>
    <row r="41" spans="1:10" x14ac:dyDescent="0.3">
      <c r="A41" s="7" t="s">
        <v>91</v>
      </c>
      <c r="B41" s="8" t="s">
        <v>88</v>
      </c>
      <c r="C41" s="7" t="s">
        <v>12</v>
      </c>
      <c r="D41" s="7" t="s">
        <v>79</v>
      </c>
      <c r="E41" s="7" t="s">
        <v>14</v>
      </c>
      <c r="F41" s="9">
        <v>733.5</v>
      </c>
      <c r="G41" s="9">
        <v>253.63</v>
      </c>
      <c r="H41" s="7">
        <v>5</v>
      </c>
      <c r="I41" s="10">
        <f t="shared" si="0"/>
        <v>0.34578050443081115</v>
      </c>
      <c r="J41" s="7" t="str">
        <f t="shared" si="1"/>
        <v>Low</v>
      </c>
    </row>
    <row r="42" spans="1:10" x14ac:dyDescent="0.3">
      <c r="A42" s="7" t="s">
        <v>92</v>
      </c>
      <c r="B42" s="8" t="s">
        <v>88</v>
      </c>
      <c r="C42" s="7" t="s">
        <v>22</v>
      </c>
      <c r="D42" s="7" t="s">
        <v>43</v>
      </c>
      <c r="E42" s="7" t="s">
        <v>24</v>
      </c>
      <c r="F42" s="9">
        <v>101.57</v>
      </c>
      <c r="G42" s="9">
        <v>27.77</v>
      </c>
      <c r="H42" s="7">
        <v>1</v>
      </c>
      <c r="I42" s="10">
        <f t="shared" si="0"/>
        <v>0.27340750221522103</v>
      </c>
      <c r="J42" s="7" t="str">
        <f t="shared" si="1"/>
        <v>Low</v>
      </c>
    </row>
    <row r="43" spans="1:10" x14ac:dyDescent="0.3">
      <c r="A43" s="7" t="s">
        <v>93</v>
      </c>
      <c r="B43" s="8" t="s">
        <v>88</v>
      </c>
      <c r="C43" s="7" t="s">
        <v>22</v>
      </c>
      <c r="D43" s="7" t="s">
        <v>13</v>
      </c>
      <c r="E43" s="7" t="s">
        <v>14</v>
      </c>
      <c r="F43" s="9">
        <v>364.92</v>
      </c>
      <c r="G43" s="9">
        <v>90.03</v>
      </c>
      <c r="H43" s="7">
        <v>1</v>
      </c>
      <c r="I43" s="10">
        <f t="shared" si="0"/>
        <v>0.24671160802367642</v>
      </c>
      <c r="J43" s="7" t="str">
        <f t="shared" si="1"/>
        <v>Low</v>
      </c>
    </row>
    <row r="44" spans="1:10" x14ac:dyDescent="0.3">
      <c r="A44" s="7" t="s">
        <v>94</v>
      </c>
      <c r="B44" s="8" t="s">
        <v>95</v>
      </c>
      <c r="C44" s="7" t="s">
        <v>22</v>
      </c>
      <c r="D44" s="7" t="s">
        <v>70</v>
      </c>
      <c r="E44" s="7" t="s">
        <v>14</v>
      </c>
      <c r="F44" s="9">
        <v>685.26</v>
      </c>
      <c r="G44" s="9">
        <v>102.28</v>
      </c>
      <c r="H44" s="7">
        <v>2</v>
      </c>
      <c r="I44" s="10">
        <f t="shared" si="0"/>
        <v>0.14925721623909174</v>
      </c>
      <c r="J44" s="7" t="str">
        <f t="shared" si="1"/>
        <v>Low</v>
      </c>
    </row>
    <row r="45" spans="1:10" x14ac:dyDescent="0.3">
      <c r="A45" s="7" t="s">
        <v>96</v>
      </c>
      <c r="B45" s="8" t="s">
        <v>97</v>
      </c>
      <c r="C45" s="7" t="s">
        <v>22</v>
      </c>
      <c r="D45" s="7" t="s">
        <v>79</v>
      </c>
      <c r="E45" s="7" t="s">
        <v>14</v>
      </c>
      <c r="F45" s="9">
        <v>975.66</v>
      </c>
      <c r="G45" s="9">
        <v>393.99</v>
      </c>
      <c r="H45" s="7">
        <v>6</v>
      </c>
      <c r="I45" s="10">
        <f t="shared" si="0"/>
        <v>0.40381895332390383</v>
      </c>
      <c r="J45" s="7" t="str">
        <f t="shared" si="1"/>
        <v>Low</v>
      </c>
    </row>
    <row r="46" spans="1:10" x14ac:dyDescent="0.3">
      <c r="A46" s="7" t="s">
        <v>98</v>
      </c>
      <c r="B46" s="8" t="s">
        <v>97</v>
      </c>
      <c r="C46" s="7" t="s">
        <v>32</v>
      </c>
      <c r="D46" s="7" t="s">
        <v>41</v>
      </c>
      <c r="E46" s="7" t="s">
        <v>28</v>
      </c>
      <c r="F46" s="9">
        <v>544.76</v>
      </c>
      <c r="G46" s="9">
        <v>231.3</v>
      </c>
      <c r="H46" s="7">
        <v>2</v>
      </c>
      <c r="I46" s="10">
        <f t="shared" si="0"/>
        <v>0.42459064542183717</v>
      </c>
      <c r="J46" s="7" t="str">
        <f t="shared" si="1"/>
        <v>Low</v>
      </c>
    </row>
    <row r="47" spans="1:10" x14ac:dyDescent="0.3">
      <c r="A47" s="7" t="s">
        <v>99</v>
      </c>
      <c r="B47" s="8" t="s">
        <v>97</v>
      </c>
      <c r="C47" s="7" t="s">
        <v>32</v>
      </c>
      <c r="D47" s="7" t="s">
        <v>60</v>
      </c>
      <c r="E47" s="7" t="s">
        <v>28</v>
      </c>
      <c r="F47" s="9">
        <v>1526.4</v>
      </c>
      <c r="G47" s="9">
        <v>571.08000000000004</v>
      </c>
      <c r="H47" s="7">
        <v>4</v>
      </c>
      <c r="I47" s="10">
        <f t="shared" si="0"/>
        <v>0.37413522012578615</v>
      </c>
      <c r="J47" s="7" t="str">
        <f t="shared" si="1"/>
        <v>Medium</v>
      </c>
    </row>
    <row r="48" spans="1:10" x14ac:dyDescent="0.3">
      <c r="A48" s="7" t="s">
        <v>100</v>
      </c>
      <c r="B48" s="8" t="s">
        <v>97</v>
      </c>
      <c r="C48" s="7" t="s">
        <v>20</v>
      </c>
      <c r="D48" s="7" t="s">
        <v>70</v>
      </c>
      <c r="E48" s="7" t="s">
        <v>14</v>
      </c>
      <c r="F48" s="9">
        <v>352.25</v>
      </c>
      <c r="G48" s="9">
        <v>64.680000000000007</v>
      </c>
      <c r="H48" s="7">
        <v>1</v>
      </c>
      <c r="I48" s="10">
        <f t="shared" si="0"/>
        <v>0.1836195883605394</v>
      </c>
      <c r="J48" s="7" t="str">
        <f t="shared" si="1"/>
        <v>Low</v>
      </c>
    </row>
    <row r="49" spans="1:10" x14ac:dyDescent="0.3">
      <c r="A49" s="7" t="s">
        <v>101</v>
      </c>
      <c r="B49" s="8" t="s">
        <v>97</v>
      </c>
      <c r="C49" s="7" t="s">
        <v>12</v>
      </c>
      <c r="D49" s="7" t="s">
        <v>17</v>
      </c>
      <c r="E49" s="7" t="s">
        <v>18</v>
      </c>
      <c r="F49" s="9">
        <v>380.6</v>
      </c>
      <c r="G49" s="9">
        <v>95.41</v>
      </c>
      <c r="H49" s="7">
        <v>1</v>
      </c>
      <c r="I49" s="10">
        <f t="shared" si="0"/>
        <v>0.2506831318970047</v>
      </c>
      <c r="J49" s="7" t="str">
        <f t="shared" si="1"/>
        <v>Low</v>
      </c>
    </row>
    <row r="50" spans="1:10" x14ac:dyDescent="0.3">
      <c r="A50" s="7" t="s">
        <v>102</v>
      </c>
      <c r="B50" s="8" t="s">
        <v>103</v>
      </c>
      <c r="C50" s="7" t="s">
        <v>20</v>
      </c>
      <c r="D50" s="7" t="s">
        <v>60</v>
      </c>
      <c r="E50" s="7" t="s">
        <v>28</v>
      </c>
      <c r="F50" s="9">
        <v>404.64</v>
      </c>
      <c r="G50" s="9">
        <v>163.54</v>
      </c>
      <c r="H50" s="7">
        <v>1</v>
      </c>
      <c r="I50" s="10">
        <f t="shared" si="0"/>
        <v>0.40416172400158162</v>
      </c>
      <c r="J50" s="7" t="str">
        <f t="shared" si="1"/>
        <v>Low</v>
      </c>
    </row>
    <row r="51" spans="1:10" x14ac:dyDescent="0.3">
      <c r="A51" s="7" t="s">
        <v>104</v>
      </c>
      <c r="B51" s="8" t="s">
        <v>103</v>
      </c>
      <c r="C51" s="7" t="s">
        <v>22</v>
      </c>
      <c r="D51" s="7" t="s">
        <v>57</v>
      </c>
      <c r="E51" s="7" t="s">
        <v>18</v>
      </c>
      <c r="F51" s="9">
        <v>169.2</v>
      </c>
      <c r="G51" s="9">
        <v>39.22</v>
      </c>
      <c r="H51" s="7">
        <v>1</v>
      </c>
      <c r="I51" s="10">
        <f t="shared" si="0"/>
        <v>0.23179669030732861</v>
      </c>
      <c r="J51" s="7" t="str">
        <f t="shared" si="1"/>
        <v>Low</v>
      </c>
    </row>
    <row r="52" spans="1:10" x14ac:dyDescent="0.3">
      <c r="A52" s="7" t="s">
        <v>105</v>
      </c>
      <c r="B52" s="8" t="s">
        <v>106</v>
      </c>
      <c r="C52" s="7" t="s">
        <v>32</v>
      </c>
      <c r="D52" s="7" t="s">
        <v>85</v>
      </c>
      <c r="E52" s="7" t="s">
        <v>24</v>
      </c>
      <c r="F52" s="9">
        <v>359.88</v>
      </c>
      <c r="G52" s="9">
        <v>154.03</v>
      </c>
      <c r="H52" s="7">
        <v>1</v>
      </c>
      <c r="I52" s="10">
        <f t="shared" si="0"/>
        <v>0.42800377903745696</v>
      </c>
      <c r="J52" s="7" t="str">
        <f t="shared" si="1"/>
        <v>Low</v>
      </c>
    </row>
    <row r="53" spans="1:10" x14ac:dyDescent="0.3">
      <c r="A53" s="7" t="s">
        <v>107</v>
      </c>
      <c r="B53" s="8" t="s">
        <v>106</v>
      </c>
      <c r="C53" s="7" t="s">
        <v>12</v>
      </c>
      <c r="D53" s="7" t="s">
        <v>34</v>
      </c>
      <c r="E53" s="7" t="s">
        <v>24</v>
      </c>
      <c r="F53" s="9">
        <v>676.34</v>
      </c>
      <c r="G53" s="9">
        <v>100.36</v>
      </c>
      <c r="H53" s="7">
        <v>2</v>
      </c>
      <c r="I53" s="10">
        <f t="shared" si="0"/>
        <v>0.14838690599402665</v>
      </c>
      <c r="J53" s="7" t="str">
        <f t="shared" si="1"/>
        <v>Low</v>
      </c>
    </row>
    <row r="54" spans="1:10" x14ac:dyDescent="0.3">
      <c r="A54" s="7" t="s">
        <v>108</v>
      </c>
      <c r="B54" s="8" t="s">
        <v>109</v>
      </c>
      <c r="C54" s="7" t="s">
        <v>32</v>
      </c>
      <c r="D54" s="7" t="s">
        <v>89</v>
      </c>
      <c r="E54" s="7" t="s">
        <v>24</v>
      </c>
      <c r="F54" s="9">
        <v>282.18</v>
      </c>
      <c r="G54" s="9">
        <v>70.73</v>
      </c>
      <c r="H54" s="7">
        <v>1</v>
      </c>
      <c r="I54" s="10">
        <f t="shared" si="0"/>
        <v>0.25065560989439367</v>
      </c>
      <c r="J54" s="7" t="str">
        <f t="shared" si="1"/>
        <v>Low</v>
      </c>
    </row>
    <row r="55" spans="1:10" x14ac:dyDescent="0.3">
      <c r="A55" s="7" t="s">
        <v>110</v>
      </c>
      <c r="B55" s="8" t="s">
        <v>111</v>
      </c>
      <c r="C55" s="7" t="s">
        <v>20</v>
      </c>
      <c r="D55" s="7" t="s">
        <v>112</v>
      </c>
      <c r="E55" s="7" t="s">
        <v>14</v>
      </c>
      <c r="F55" s="9">
        <v>1277.4000000000001</v>
      </c>
      <c r="G55" s="9">
        <v>417.69</v>
      </c>
      <c r="H55" s="7">
        <v>3</v>
      </c>
      <c r="I55" s="10">
        <f t="shared" si="0"/>
        <v>0.32698449976514793</v>
      </c>
      <c r="J55" s="7" t="str">
        <f t="shared" si="1"/>
        <v>Low</v>
      </c>
    </row>
    <row r="56" spans="1:10" x14ac:dyDescent="0.3">
      <c r="A56" s="7" t="s">
        <v>113</v>
      </c>
      <c r="B56" s="8" t="s">
        <v>114</v>
      </c>
      <c r="C56" s="7" t="s">
        <v>20</v>
      </c>
      <c r="D56" s="7" t="s">
        <v>70</v>
      </c>
      <c r="E56" s="7" t="s">
        <v>14</v>
      </c>
      <c r="F56" s="9">
        <v>1115.43</v>
      </c>
      <c r="G56" s="9">
        <v>270.55</v>
      </c>
      <c r="H56" s="7">
        <v>3</v>
      </c>
      <c r="I56" s="10">
        <f t="shared" si="0"/>
        <v>0.2425521996001542</v>
      </c>
      <c r="J56" s="7" t="str">
        <f t="shared" si="1"/>
        <v>Low</v>
      </c>
    </row>
    <row r="57" spans="1:10" x14ac:dyDescent="0.3">
      <c r="A57" s="7" t="s">
        <v>115</v>
      </c>
      <c r="B57" s="8" t="s">
        <v>116</v>
      </c>
      <c r="C57" s="7" t="s">
        <v>12</v>
      </c>
      <c r="D57" s="7" t="s">
        <v>74</v>
      </c>
      <c r="E57" s="7" t="s">
        <v>18</v>
      </c>
      <c r="F57" s="9">
        <v>972.72</v>
      </c>
      <c r="G57" s="9">
        <v>132.11000000000001</v>
      </c>
      <c r="H57" s="7">
        <v>4</v>
      </c>
      <c r="I57" s="10">
        <f t="shared" si="0"/>
        <v>0.13581503413109633</v>
      </c>
      <c r="J57" s="7" t="str">
        <f t="shared" si="1"/>
        <v>Low</v>
      </c>
    </row>
    <row r="58" spans="1:10" x14ac:dyDescent="0.3">
      <c r="A58" s="7" t="s">
        <v>117</v>
      </c>
      <c r="B58" s="8" t="s">
        <v>116</v>
      </c>
      <c r="C58" s="7" t="s">
        <v>12</v>
      </c>
      <c r="D58" s="7" t="s">
        <v>57</v>
      </c>
      <c r="E58" s="7" t="s">
        <v>18</v>
      </c>
      <c r="F58" s="9">
        <v>351.14</v>
      </c>
      <c r="G58" s="9">
        <v>107.49</v>
      </c>
      <c r="H58" s="7">
        <v>2</v>
      </c>
      <c r="I58" s="10">
        <f t="shared" si="0"/>
        <v>0.30611721820356552</v>
      </c>
      <c r="J58" s="7" t="str">
        <f t="shared" si="1"/>
        <v>Low</v>
      </c>
    </row>
    <row r="59" spans="1:10" x14ac:dyDescent="0.3">
      <c r="A59" s="7" t="s">
        <v>118</v>
      </c>
      <c r="B59" s="8" t="s">
        <v>119</v>
      </c>
      <c r="C59" s="7" t="s">
        <v>22</v>
      </c>
      <c r="D59" s="7" t="s">
        <v>38</v>
      </c>
      <c r="E59" s="7" t="s">
        <v>18</v>
      </c>
      <c r="F59" s="9">
        <v>722</v>
      </c>
      <c r="G59" s="9">
        <v>175.18</v>
      </c>
      <c r="H59" s="7">
        <v>2</v>
      </c>
      <c r="I59" s="10">
        <f t="shared" si="0"/>
        <v>0.24263157894736842</v>
      </c>
      <c r="J59" s="7" t="str">
        <f t="shared" si="1"/>
        <v>Low</v>
      </c>
    </row>
    <row r="60" spans="1:10" x14ac:dyDescent="0.3">
      <c r="A60" s="7" t="s">
        <v>120</v>
      </c>
      <c r="B60" s="8" t="s">
        <v>119</v>
      </c>
      <c r="C60" s="7" t="s">
        <v>12</v>
      </c>
      <c r="D60" s="7" t="s">
        <v>60</v>
      </c>
      <c r="E60" s="7" t="s">
        <v>28</v>
      </c>
      <c r="F60" s="9">
        <v>1513.12</v>
      </c>
      <c r="G60" s="9">
        <v>606.23</v>
      </c>
      <c r="H60" s="7">
        <v>4</v>
      </c>
      <c r="I60" s="10">
        <f t="shared" si="0"/>
        <v>0.40064899016601463</v>
      </c>
      <c r="J60" s="7" t="str">
        <f t="shared" si="1"/>
        <v>Medium</v>
      </c>
    </row>
    <row r="61" spans="1:10" x14ac:dyDescent="0.3">
      <c r="A61" s="7" t="s">
        <v>121</v>
      </c>
      <c r="B61" s="8" t="s">
        <v>122</v>
      </c>
      <c r="C61" s="7" t="s">
        <v>20</v>
      </c>
      <c r="D61" s="7" t="s">
        <v>43</v>
      </c>
      <c r="E61" s="7" t="s">
        <v>24</v>
      </c>
      <c r="F61" s="9">
        <v>551.65</v>
      </c>
      <c r="G61" s="9">
        <v>173.97</v>
      </c>
      <c r="H61" s="7">
        <v>5</v>
      </c>
      <c r="I61" s="10">
        <f t="shared" si="0"/>
        <v>0.31536300190338079</v>
      </c>
      <c r="J61" s="7" t="str">
        <f t="shared" si="1"/>
        <v>Low</v>
      </c>
    </row>
    <row r="62" spans="1:10" x14ac:dyDescent="0.3">
      <c r="A62" s="7" t="s">
        <v>123</v>
      </c>
      <c r="B62" s="8" t="s">
        <v>122</v>
      </c>
      <c r="C62" s="7" t="s">
        <v>20</v>
      </c>
      <c r="D62" s="7" t="s">
        <v>70</v>
      </c>
      <c r="E62" s="7" t="s">
        <v>14</v>
      </c>
      <c r="F62" s="9">
        <v>359.77</v>
      </c>
      <c r="G62" s="9">
        <v>70.650000000000006</v>
      </c>
      <c r="H62" s="7">
        <v>1</v>
      </c>
      <c r="I62" s="10">
        <f t="shared" si="0"/>
        <v>0.19637546210078663</v>
      </c>
      <c r="J62" s="7" t="str">
        <f t="shared" si="1"/>
        <v>Low</v>
      </c>
    </row>
    <row r="63" spans="1:10" x14ac:dyDescent="0.3">
      <c r="A63" s="7" t="s">
        <v>124</v>
      </c>
      <c r="B63" s="8" t="s">
        <v>122</v>
      </c>
      <c r="C63" s="7" t="s">
        <v>20</v>
      </c>
      <c r="D63" s="7" t="s">
        <v>13</v>
      </c>
      <c r="E63" s="7" t="s">
        <v>14</v>
      </c>
      <c r="F63" s="9">
        <v>1162.26</v>
      </c>
      <c r="G63" s="9">
        <v>361.73</v>
      </c>
      <c r="H63" s="7">
        <v>3</v>
      </c>
      <c r="I63" s="10">
        <f t="shared" si="0"/>
        <v>0.31122984530139558</v>
      </c>
      <c r="J63" s="7" t="str">
        <f t="shared" si="1"/>
        <v>Low</v>
      </c>
    </row>
    <row r="64" spans="1:10" x14ac:dyDescent="0.3">
      <c r="A64" s="7" t="s">
        <v>125</v>
      </c>
      <c r="B64" s="8" t="s">
        <v>126</v>
      </c>
      <c r="C64" s="7" t="s">
        <v>22</v>
      </c>
      <c r="D64" s="7" t="s">
        <v>38</v>
      </c>
      <c r="E64" s="7" t="s">
        <v>18</v>
      </c>
      <c r="F64" s="9">
        <v>2316.84</v>
      </c>
      <c r="G64" s="9">
        <v>559.37</v>
      </c>
      <c r="H64" s="7">
        <v>6</v>
      </c>
      <c r="I64" s="10">
        <f t="shared" si="0"/>
        <v>0.2414366119369486</v>
      </c>
      <c r="J64" s="7" t="str">
        <f t="shared" si="1"/>
        <v>Medium</v>
      </c>
    </row>
    <row r="65" spans="1:10" x14ac:dyDescent="0.3">
      <c r="A65" s="7" t="s">
        <v>127</v>
      </c>
      <c r="B65" s="8" t="s">
        <v>126</v>
      </c>
      <c r="C65" s="7" t="s">
        <v>32</v>
      </c>
      <c r="D65" s="7" t="s">
        <v>112</v>
      </c>
      <c r="E65" s="7" t="s">
        <v>14</v>
      </c>
      <c r="F65" s="9">
        <v>869.1</v>
      </c>
      <c r="G65" s="9">
        <v>321.3</v>
      </c>
      <c r="H65" s="7">
        <v>2</v>
      </c>
      <c r="I65" s="10">
        <f t="shared" si="0"/>
        <v>0.3696927856403176</v>
      </c>
      <c r="J65" s="7" t="str">
        <f t="shared" si="1"/>
        <v>Low</v>
      </c>
    </row>
    <row r="66" spans="1:10" x14ac:dyDescent="0.3">
      <c r="A66" s="7" t="s">
        <v>128</v>
      </c>
      <c r="B66" s="8" t="s">
        <v>126</v>
      </c>
      <c r="C66" s="7" t="s">
        <v>12</v>
      </c>
      <c r="D66" s="7" t="s">
        <v>70</v>
      </c>
      <c r="E66" s="7" t="s">
        <v>14</v>
      </c>
      <c r="F66" s="9">
        <v>341.84</v>
      </c>
      <c r="G66" s="9">
        <v>49.16</v>
      </c>
      <c r="H66" s="7">
        <v>1</v>
      </c>
      <c r="I66" s="10">
        <f t="shared" ref="I66:I129" si="2">IFERROR(G66/F66,0)</f>
        <v>0.14380996957641001</v>
      </c>
      <c r="J66" s="7" t="str">
        <f t="shared" ref="J66:J129" si="3">IF(F66&gt;5000,"High",IF(F66&gt;1500,"Medium","Low"))</f>
        <v>Low</v>
      </c>
    </row>
    <row r="67" spans="1:10" x14ac:dyDescent="0.3">
      <c r="A67" s="7" t="s">
        <v>129</v>
      </c>
      <c r="B67" s="8" t="s">
        <v>126</v>
      </c>
      <c r="C67" s="7" t="s">
        <v>12</v>
      </c>
      <c r="D67" s="7" t="s">
        <v>50</v>
      </c>
      <c r="E67" s="7" t="s">
        <v>14</v>
      </c>
      <c r="F67" s="9">
        <v>150.33000000000001</v>
      </c>
      <c r="G67" s="9">
        <v>67.569999999999993</v>
      </c>
      <c r="H67" s="7">
        <v>3</v>
      </c>
      <c r="I67" s="10">
        <f t="shared" si="2"/>
        <v>0.44947781547262683</v>
      </c>
      <c r="J67" s="7" t="str">
        <f t="shared" si="3"/>
        <v>Low</v>
      </c>
    </row>
    <row r="68" spans="1:10" x14ac:dyDescent="0.3">
      <c r="A68" s="7" t="s">
        <v>130</v>
      </c>
      <c r="B68" s="8" t="s">
        <v>131</v>
      </c>
      <c r="C68" s="7" t="s">
        <v>20</v>
      </c>
      <c r="D68" s="7" t="s">
        <v>112</v>
      </c>
      <c r="E68" s="7" t="s">
        <v>14</v>
      </c>
      <c r="F68" s="9">
        <v>838.1</v>
      </c>
      <c r="G68" s="9">
        <v>272.89</v>
      </c>
      <c r="H68" s="7">
        <v>2</v>
      </c>
      <c r="I68" s="10">
        <f t="shared" si="2"/>
        <v>0.32560553633217992</v>
      </c>
      <c r="J68" s="7" t="str">
        <f t="shared" si="3"/>
        <v>Low</v>
      </c>
    </row>
    <row r="69" spans="1:10" x14ac:dyDescent="0.3">
      <c r="A69" s="7" t="s">
        <v>132</v>
      </c>
      <c r="B69" s="8" t="s">
        <v>133</v>
      </c>
      <c r="C69" s="7" t="s">
        <v>22</v>
      </c>
      <c r="D69" s="7" t="s">
        <v>43</v>
      </c>
      <c r="E69" s="7" t="s">
        <v>24</v>
      </c>
      <c r="F69" s="9">
        <v>97.14</v>
      </c>
      <c r="G69" s="9">
        <v>20.34</v>
      </c>
      <c r="H69" s="7">
        <v>1</v>
      </c>
      <c r="I69" s="10">
        <f t="shared" si="2"/>
        <v>0.20938851142680667</v>
      </c>
      <c r="J69" s="7" t="str">
        <f t="shared" si="3"/>
        <v>Low</v>
      </c>
    </row>
    <row r="70" spans="1:10" x14ac:dyDescent="0.3">
      <c r="A70" s="7" t="s">
        <v>134</v>
      </c>
      <c r="B70" s="8" t="s">
        <v>135</v>
      </c>
      <c r="C70" s="7" t="s">
        <v>32</v>
      </c>
      <c r="D70" s="7" t="s">
        <v>63</v>
      </c>
      <c r="E70" s="7" t="s">
        <v>28</v>
      </c>
      <c r="F70" s="9">
        <v>793.12</v>
      </c>
      <c r="G70" s="9">
        <v>341.76</v>
      </c>
      <c r="H70" s="7">
        <v>4</v>
      </c>
      <c r="I70" s="10">
        <f t="shared" si="2"/>
        <v>0.430905789792213</v>
      </c>
      <c r="J70" s="7" t="str">
        <f t="shared" si="3"/>
        <v>Low</v>
      </c>
    </row>
    <row r="71" spans="1:10" x14ac:dyDescent="0.3">
      <c r="A71" s="7" t="s">
        <v>136</v>
      </c>
      <c r="B71" s="8" t="s">
        <v>135</v>
      </c>
      <c r="C71" s="7" t="s">
        <v>32</v>
      </c>
      <c r="D71" s="7" t="s">
        <v>23</v>
      </c>
      <c r="E71" s="7" t="s">
        <v>24</v>
      </c>
      <c r="F71" s="9">
        <v>217</v>
      </c>
      <c r="G71" s="9">
        <v>67.19</v>
      </c>
      <c r="H71" s="7">
        <v>2</v>
      </c>
      <c r="I71" s="10">
        <f t="shared" si="2"/>
        <v>0.30963133640552992</v>
      </c>
      <c r="J71" s="7" t="str">
        <f t="shared" si="3"/>
        <v>Low</v>
      </c>
    </row>
    <row r="72" spans="1:10" x14ac:dyDescent="0.3">
      <c r="A72" s="7" t="s">
        <v>137</v>
      </c>
      <c r="B72" s="8" t="s">
        <v>135</v>
      </c>
      <c r="C72" s="7" t="s">
        <v>22</v>
      </c>
      <c r="D72" s="7" t="s">
        <v>57</v>
      </c>
      <c r="E72" s="7" t="s">
        <v>18</v>
      </c>
      <c r="F72" s="9">
        <v>363.1</v>
      </c>
      <c r="G72" s="9">
        <v>121.37</v>
      </c>
      <c r="H72" s="7">
        <v>2</v>
      </c>
      <c r="I72" s="10">
        <f t="shared" si="2"/>
        <v>0.3342605342880749</v>
      </c>
      <c r="J72" s="7" t="str">
        <f t="shared" si="3"/>
        <v>Low</v>
      </c>
    </row>
    <row r="73" spans="1:10" x14ac:dyDescent="0.3">
      <c r="A73" s="7" t="s">
        <v>138</v>
      </c>
      <c r="B73" s="8" t="s">
        <v>139</v>
      </c>
      <c r="C73" s="7" t="s">
        <v>20</v>
      </c>
      <c r="D73" s="7" t="s">
        <v>17</v>
      </c>
      <c r="E73" s="7" t="s">
        <v>18</v>
      </c>
      <c r="F73" s="9">
        <v>1131.3599999999999</v>
      </c>
      <c r="G73" s="9">
        <v>311.56</v>
      </c>
      <c r="H73" s="7">
        <v>3</v>
      </c>
      <c r="I73" s="10">
        <f t="shared" si="2"/>
        <v>0.27538537689152881</v>
      </c>
      <c r="J73" s="7" t="str">
        <f t="shared" si="3"/>
        <v>Low</v>
      </c>
    </row>
    <row r="74" spans="1:10" x14ac:dyDescent="0.3">
      <c r="A74" s="7" t="s">
        <v>140</v>
      </c>
      <c r="B74" s="8" t="s">
        <v>141</v>
      </c>
      <c r="C74" s="7" t="s">
        <v>20</v>
      </c>
      <c r="D74" s="7" t="s">
        <v>89</v>
      </c>
      <c r="E74" s="7" t="s">
        <v>24</v>
      </c>
      <c r="F74" s="9">
        <v>285.17</v>
      </c>
      <c r="G74" s="9">
        <v>83.98</v>
      </c>
      <c r="H74" s="7">
        <v>1</v>
      </c>
      <c r="I74" s="10">
        <f t="shared" si="2"/>
        <v>0.29449100536522077</v>
      </c>
      <c r="J74" s="7" t="str">
        <f t="shared" si="3"/>
        <v>Low</v>
      </c>
    </row>
    <row r="75" spans="1:10" x14ac:dyDescent="0.3">
      <c r="A75" s="7" t="s">
        <v>142</v>
      </c>
      <c r="B75" s="8" t="s">
        <v>141</v>
      </c>
      <c r="C75" s="7" t="s">
        <v>22</v>
      </c>
      <c r="D75" s="7" t="s">
        <v>70</v>
      </c>
      <c r="E75" s="7" t="s">
        <v>14</v>
      </c>
      <c r="F75" s="9">
        <v>336.02</v>
      </c>
      <c r="G75" s="9">
        <v>64.77</v>
      </c>
      <c r="H75" s="7">
        <v>1</v>
      </c>
      <c r="I75" s="10">
        <f t="shared" si="2"/>
        <v>0.19275638354859831</v>
      </c>
      <c r="J75" s="7" t="str">
        <f t="shared" si="3"/>
        <v>Low</v>
      </c>
    </row>
    <row r="76" spans="1:10" x14ac:dyDescent="0.3">
      <c r="A76" s="7" t="s">
        <v>143</v>
      </c>
      <c r="B76" s="8" t="s">
        <v>144</v>
      </c>
      <c r="C76" s="7" t="s">
        <v>20</v>
      </c>
      <c r="D76" s="7" t="s">
        <v>74</v>
      </c>
      <c r="E76" s="7" t="s">
        <v>18</v>
      </c>
      <c r="F76" s="9">
        <v>247.75</v>
      </c>
      <c r="G76" s="9">
        <v>34.03</v>
      </c>
      <c r="H76" s="7">
        <v>1</v>
      </c>
      <c r="I76" s="10">
        <f t="shared" si="2"/>
        <v>0.13735620585267408</v>
      </c>
      <c r="J76" s="7" t="str">
        <f t="shared" si="3"/>
        <v>Low</v>
      </c>
    </row>
    <row r="77" spans="1:10" x14ac:dyDescent="0.3">
      <c r="A77" s="7" t="s">
        <v>145</v>
      </c>
      <c r="B77" s="8" t="s">
        <v>146</v>
      </c>
      <c r="C77" s="7" t="s">
        <v>12</v>
      </c>
      <c r="D77" s="7" t="s">
        <v>112</v>
      </c>
      <c r="E77" s="7" t="s">
        <v>14</v>
      </c>
      <c r="F77" s="9">
        <v>402.7</v>
      </c>
      <c r="G77" s="9">
        <v>113.26</v>
      </c>
      <c r="H77" s="7">
        <v>1</v>
      </c>
      <c r="I77" s="10">
        <f t="shared" si="2"/>
        <v>0.28125155202383911</v>
      </c>
      <c r="J77" s="7" t="str">
        <f t="shared" si="3"/>
        <v>Low</v>
      </c>
    </row>
    <row r="78" spans="1:10" x14ac:dyDescent="0.3">
      <c r="A78" s="7" t="s">
        <v>147</v>
      </c>
      <c r="B78" s="8" t="s">
        <v>148</v>
      </c>
      <c r="C78" s="7" t="s">
        <v>22</v>
      </c>
      <c r="D78" s="7" t="s">
        <v>60</v>
      </c>
      <c r="E78" s="7" t="s">
        <v>28</v>
      </c>
      <c r="F78" s="9">
        <v>4091.3</v>
      </c>
      <c r="G78" s="9">
        <v>1885.26</v>
      </c>
      <c r="H78" s="7">
        <v>10</v>
      </c>
      <c r="I78" s="10">
        <f t="shared" si="2"/>
        <v>0.46079730159118126</v>
      </c>
      <c r="J78" s="7" t="str">
        <f t="shared" si="3"/>
        <v>Medium</v>
      </c>
    </row>
    <row r="79" spans="1:10" x14ac:dyDescent="0.3">
      <c r="A79" s="7" t="s">
        <v>149</v>
      </c>
      <c r="B79" s="8" t="s">
        <v>148</v>
      </c>
      <c r="C79" s="7" t="s">
        <v>12</v>
      </c>
      <c r="D79" s="7" t="s">
        <v>57</v>
      </c>
      <c r="E79" s="7" t="s">
        <v>18</v>
      </c>
      <c r="F79" s="9">
        <v>714.12</v>
      </c>
      <c r="G79" s="9">
        <v>196.97</v>
      </c>
      <c r="H79" s="7">
        <v>4</v>
      </c>
      <c r="I79" s="10">
        <f t="shared" si="2"/>
        <v>0.27582199070184282</v>
      </c>
      <c r="J79" s="7" t="str">
        <f t="shared" si="3"/>
        <v>Low</v>
      </c>
    </row>
    <row r="80" spans="1:10" x14ac:dyDescent="0.3">
      <c r="A80" s="7" t="s">
        <v>150</v>
      </c>
      <c r="B80" s="8" t="s">
        <v>148</v>
      </c>
      <c r="C80" s="7" t="s">
        <v>32</v>
      </c>
      <c r="D80" s="7" t="s">
        <v>57</v>
      </c>
      <c r="E80" s="7" t="s">
        <v>18</v>
      </c>
      <c r="F80" s="9">
        <v>656.84</v>
      </c>
      <c r="G80" s="9">
        <v>156.26</v>
      </c>
      <c r="H80" s="7">
        <v>4</v>
      </c>
      <c r="I80" s="10">
        <f t="shared" si="2"/>
        <v>0.23789659582242248</v>
      </c>
      <c r="J80" s="7" t="str">
        <f t="shared" si="3"/>
        <v>Low</v>
      </c>
    </row>
    <row r="81" spans="1:10" x14ac:dyDescent="0.3">
      <c r="A81" s="7" t="s">
        <v>151</v>
      </c>
      <c r="B81" s="8" t="s">
        <v>148</v>
      </c>
      <c r="C81" s="7" t="s">
        <v>20</v>
      </c>
      <c r="D81" s="7" t="s">
        <v>27</v>
      </c>
      <c r="E81" s="7" t="s">
        <v>28</v>
      </c>
      <c r="F81" s="9">
        <v>990.66</v>
      </c>
      <c r="G81" s="9">
        <v>231.23</v>
      </c>
      <c r="H81" s="7">
        <v>3</v>
      </c>
      <c r="I81" s="10">
        <f t="shared" si="2"/>
        <v>0.23341004986574607</v>
      </c>
      <c r="J81" s="7" t="str">
        <f t="shared" si="3"/>
        <v>Low</v>
      </c>
    </row>
    <row r="82" spans="1:10" x14ac:dyDescent="0.3">
      <c r="A82" s="7" t="s">
        <v>152</v>
      </c>
      <c r="B82" s="8" t="s">
        <v>153</v>
      </c>
      <c r="C82" s="7" t="s">
        <v>12</v>
      </c>
      <c r="D82" s="7" t="s">
        <v>60</v>
      </c>
      <c r="E82" s="7" t="s">
        <v>28</v>
      </c>
      <c r="F82" s="9">
        <v>2423.1</v>
      </c>
      <c r="G82" s="9">
        <v>1038.43</v>
      </c>
      <c r="H82" s="7">
        <v>6</v>
      </c>
      <c r="I82" s="10">
        <f t="shared" si="2"/>
        <v>0.42855433122859149</v>
      </c>
      <c r="J82" s="7" t="str">
        <f t="shared" si="3"/>
        <v>Medium</v>
      </c>
    </row>
    <row r="83" spans="1:10" x14ac:dyDescent="0.3">
      <c r="A83" s="7" t="s">
        <v>154</v>
      </c>
      <c r="B83" s="8" t="s">
        <v>153</v>
      </c>
      <c r="C83" s="7" t="s">
        <v>20</v>
      </c>
      <c r="D83" s="7" t="s">
        <v>63</v>
      </c>
      <c r="E83" s="7" t="s">
        <v>28</v>
      </c>
      <c r="F83" s="9">
        <v>179.85</v>
      </c>
      <c r="G83" s="9">
        <v>72.36</v>
      </c>
      <c r="H83" s="7">
        <v>1</v>
      </c>
      <c r="I83" s="10">
        <f t="shared" si="2"/>
        <v>0.40233527939949959</v>
      </c>
      <c r="J83" s="7" t="str">
        <f t="shared" si="3"/>
        <v>Low</v>
      </c>
    </row>
    <row r="84" spans="1:10" x14ac:dyDescent="0.3">
      <c r="A84" s="7" t="s">
        <v>155</v>
      </c>
      <c r="B84" s="8" t="s">
        <v>153</v>
      </c>
      <c r="C84" s="7" t="s">
        <v>20</v>
      </c>
      <c r="D84" s="7" t="s">
        <v>43</v>
      </c>
      <c r="E84" s="7" t="s">
        <v>24</v>
      </c>
      <c r="F84" s="9">
        <v>503</v>
      </c>
      <c r="G84" s="9">
        <v>118.18</v>
      </c>
      <c r="H84" s="7">
        <v>5</v>
      </c>
      <c r="I84" s="10">
        <f t="shared" si="2"/>
        <v>0.2349502982107356</v>
      </c>
      <c r="J84" s="7" t="str">
        <f t="shared" si="3"/>
        <v>Low</v>
      </c>
    </row>
    <row r="85" spans="1:10" x14ac:dyDescent="0.3">
      <c r="A85" s="7" t="s">
        <v>156</v>
      </c>
      <c r="B85" s="8" t="s">
        <v>157</v>
      </c>
      <c r="C85" s="7" t="s">
        <v>32</v>
      </c>
      <c r="D85" s="7" t="s">
        <v>23</v>
      </c>
      <c r="E85" s="7" t="s">
        <v>24</v>
      </c>
      <c r="F85" s="9">
        <v>106.32</v>
      </c>
      <c r="G85" s="9">
        <v>34.54</v>
      </c>
      <c r="H85" s="7">
        <v>1</v>
      </c>
      <c r="I85" s="10">
        <f t="shared" si="2"/>
        <v>0.32486832204665161</v>
      </c>
      <c r="J85" s="7" t="str">
        <f t="shared" si="3"/>
        <v>Low</v>
      </c>
    </row>
    <row r="86" spans="1:10" x14ac:dyDescent="0.3">
      <c r="A86" s="7" t="s">
        <v>158</v>
      </c>
      <c r="B86" s="8" t="s">
        <v>159</v>
      </c>
      <c r="C86" s="7" t="s">
        <v>12</v>
      </c>
      <c r="D86" s="7" t="s">
        <v>57</v>
      </c>
      <c r="E86" s="7" t="s">
        <v>18</v>
      </c>
      <c r="F86" s="9">
        <v>178.78</v>
      </c>
      <c r="G86" s="9">
        <v>59.26</v>
      </c>
      <c r="H86" s="7">
        <v>1</v>
      </c>
      <c r="I86" s="10">
        <f t="shared" si="2"/>
        <v>0.33146884438975277</v>
      </c>
      <c r="J86" s="7" t="str">
        <f t="shared" si="3"/>
        <v>Low</v>
      </c>
    </row>
    <row r="87" spans="1:10" x14ac:dyDescent="0.3">
      <c r="A87" s="7" t="s">
        <v>160</v>
      </c>
      <c r="B87" s="8" t="s">
        <v>161</v>
      </c>
      <c r="C87" s="7" t="s">
        <v>20</v>
      </c>
      <c r="D87" s="7" t="s">
        <v>57</v>
      </c>
      <c r="E87" s="7" t="s">
        <v>18</v>
      </c>
      <c r="F87" s="9">
        <v>679.88</v>
      </c>
      <c r="G87" s="9">
        <v>173.18</v>
      </c>
      <c r="H87" s="7">
        <v>4</v>
      </c>
      <c r="I87" s="10">
        <f t="shared" si="2"/>
        <v>0.25472142142731069</v>
      </c>
      <c r="J87" s="7" t="str">
        <f t="shared" si="3"/>
        <v>Low</v>
      </c>
    </row>
    <row r="88" spans="1:10" x14ac:dyDescent="0.3">
      <c r="A88" s="7" t="s">
        <v>162</v>
      </c>
      <c r="B88" s="8" t="s">
        <v>161</v>
      </c>
      <c r="C88" s="7" t="s">
        <v>12</v>
      </c>
      <c r="D88" s="7" t="s">
        <v>112</v>
      </c>
      <c r="E88" s="7" t="s">
        <v>14</v>
      </c>
      <c r="F88" s="9">
        <v>820.94</v>
      </c>
      <c r="G88" s="9">
        <v>271.79000000000002</v>
      </c>
      <c r="H88" s="7">
        <v>2</v>
      </c>
      <c r="I88" s="10">
        <f t="shared" si="2"/>
        <v>0.33107169829707411</v>
      </c>
      <c r="J88" s="7" t="str">
        <f t="shared" si="3"/>
        <v>Low</v>
      </c>
    </row>
    <row r="89" spans="1:10" x14ac:dyDescent="0.3">
      <c r="A89" s="7" t="s">
        <v>163</v>
      </c>
      <c r="B89" s="8" t="s">
        <v>164</v>
      </c>
      <c r="C89" s="7" t="s">
        <v>12</v>
      </c>
      <c r="D89" s="7" t="s">
        <v>74</v>
      </c>
      <c r="E89" s="7" t="s">
        <v>18</v>
      </c>
      <c r="F89" s="9">
        <v>250.13</v>
      </c>
      <c r="G89" s="9">
        <v>46.92</v>
      </c>
      <c r="H89" s="7">
        <v>1</v>
      </c>
      <c r="I89" s="10">
        <f t="shared" si="2"/>
        <v>0.1875824571222964</v>
      </c>
      <c r="J89" s="7" t="str">
        <f t="shared" si="3"/>
        <v>Low</v>
      </c>
    </row>
    <row r="90" spans="1:10" x14ac:dyDescent="0.3">
      <c r="A90" s="7" t="s">
        <v>165</v>
      </c>
      <c r="B90" s="8" t="s">
        <v>164</v>
      </c>
      <c r="C90" s="7" t="s">
        <v>12</v>
      </c>
      <c r="D90" s="7" t="s">
        <v>50</v>
      </c>
      <c r="E90" s="7" t="s">
        <v>14</v>
      </c>
      <c r="F90" s="9">
        <v>142.56</v>
      </c>
      <c r="G90" s="9">
        <v>56.65</v>
      </c>
      <c r="H90" s="7">
        <v>3</v>
      </c>
      <c r="I90" s="10">
        <f t="shared" si="2"/>
        <v>0.39737654320987653</v>
      </c>
      <c r="J90" s="7" t="str">
        <f t="shared" si="3"/>
        <v>Low</v>
      </c>
    </row>
    <row r="91" spans="1:10" x14ac:dyDescent="0.3">
      <c r="A91" s="7" t="s">
        <v>166</v>
      </c>
      <c r="B91" s="8" t="s">
        <v>164</v>
      </c>
      <c r="C91" s="7" t="s">
        <v>22</v>
      </c>
      <c r="D91" s="7" t="s">
        <v>74</v>
      </c>
      <c r="E91" s="7" t="s">
        <v>18</v>
      </c>
      <c r="F91" s="9">
        <v>1235.25</v>
      </c>
      <c r="G91" s="9">
        <v>157.13999999999999</v>
      </c>
      <c r="H91" s="7">
        <v>5</v>
      </c>
      <c r="I91" s="10">
        <f t="shared" si="2"/>
        <v>0.12721311475409836</v>
      </c>
      <c r="J91" s="7" t="str">
        <f t="shared" si="3"/>
        <v>Low</v>
      </c>
    </row>
    <row r="92" spans="1:10" x14ac:dyDescent="0.3">
      <c r="A92" s="7" t="s">
        <v>167</v>
      </c>
      <c r="B92" s="8" t="s">
        <v>164</v>
      </c>
      <c r="C92" s="7" t="s">
        <v>22</v>
      </c>
      <c r="D92" s="7" t="s">
        <v>34</v>
      </c>
      <c r="E92" s="7" t="s">
        <v>24</v>
      </c>
      <c r="F92" s="9">
        <v>2276.04</v>
      </c>
      <c r="G92" s="9">
        <v>698.07</v>
      </c>
      <c r="H92" s="7">
        <v>6</v>
      </c>
      <c r="I92" s="10">
        <f t="shared" si="2"/>
        <v>0.30670374861601735</v>
      </c>
      <c r="J92" s="7" t="str">
        <f t="shared" si="3"/>
        <v>Medium</v>
      </c>
    </row>
    <row r="93" spans="1:10" x14ac:dyDescent="0.3">
      <c r="A93" s="7" t="s">
        <v>168</v>
      </c>
      <c r="B93" s="8" t="s">
        <v>169</v>
      </c>
      <c r="C93" s="7" t="s">
        <v>20</v>
      </c>
      <c r="D93" s="7" t="s">
        <v>34</v>
      </c>
      <c r="E93" s="7" t="s">
        <v>24</v>
      </c>
      <c r="F93" s="9">
        <v>706.5</v>
      </c>
      <c r="G93" s="9">
        <v>126.85</v>
      </c>
      <c r="H93" s="7">
        <v>2</v>
      </c>
      <c r="I93" s="10">
        <f t="shared" si="2"/>
        <v>0.17954706298655343</v>
      </c>
      <c r="J93" s="7" t="str">
        <f t="shared" si="3"/>
        <v>Low</v>
      </c>
    </row>
    <row r="94" spans="1:10" x14ac:dyDescent="0.3">
      <c r="A94" s="7" t="s">
        <v>170</v>
      </c>
      <c r="B94" s="8" t="s">
        <v>169</v>
      </c>
      <c r="C94" s="7" t="s">
        <v>32</v>
      </c>
      <c r="D94" s="7" t="s">
        <v>34</v>
      </c>
      <c r="E94" s="7" t="s">
        <v>24</v>
      </c>
      <c r="F94" s="9">
        <v>1105.8900000000001</v>
      </c>
      <c r="G94" s="9">
        <v>272.04000000000002</v>
      </c>
      <c r="H94" s="7">
        <v>3</v>
      </c>
      <c r="I94" s="10">
        <f t="shared" si="2"/>
        <v>0.24599191601334672</v>
      </c>
      <c r="J94" s="7" t="str">
        <f t="shared" si="3"/>
        <v>Low</v>
      </c>
    </row>
    <row r="95" spans="1:10" x14ac:dyDescent="0.3">
      <c r="A95" s="7" t="s">
        <v>171</v>
      </c>
      <c r="B95" s="8" t="s">
        <v>172</v>
      </c>
      <c r="C95" s="7" t="s">
        <v>32</v>
      </c>
      <c r="D95" s="7" t="s">
        <v>27</v>
      </c>
      <c r="E95" s="7" t="s">
        <v>28</v>
      </c>
      <c r="F95" s="9">
        <v>1924.8</v>
      </c>
      <c r="G95" s="9">
        <v>470.93</v>
      </c>
      <c r="H95" s="7">
        <v>6</v>
      </c>
      <c r="I95" s="10">
        <f t="shared" si="2"/>
        <v>0.24466438071487948</v>
      </c>
      <c r="J95" s="7" t="str">
        <f t="shared" si="3"/>
        <v>Medium</v>
      </c>
    </row>
    <row r="96" spans="1:10" x14ac:dyDescent="0.3">
      <c r="A96" s="7" t="s">
        <v>173</v>
      </c>
      <c r="B96" s="8" t="s">
        <v>172</v>
      </c>
      <c r="C96" s="7" t="s">
        <v>32</v>
      </c>
      <c r="D96" s="7" t="s">
        <v>13</v>
      </c>
      <c r="E96" s="7" t="s">
        <v>14</v>
      </c>
      <c r="F96" s="9">
        <v>362.01</v>
      </c>
      <c r="G96" s="9">
        <v>74.150000000000006</v>
      </c>
      <c r="H96" s="7">
        <v>1</v>
      </c>
      <c r="I96" s="10">
        <f t="shared" si="2"/>
        <v>0.20482859589514105</v>
      </c>
      <c r="J96" s="7" t="str">
        <f t="shared" si="3"/>
        <v>Low</v>
      </c>
    </row>
    <row r="97" spans="1:10" x14ac:dyDescent="0.3">
      <c r="A97" s="7" t="s">
        <v>174</v>
      </c>
      <c r="B97" s="8" t="s">
        <v>172</v>
      </c>
      <c r="C97" s="7" t="s">
        <v>20</v>
      </c>
      <c r="D97" s="7" t="s">
        <v>23</v>
      </c>
      <c r="E97" s="7" t="s">
        <v>24</v>
      </c>
      <c r="F97" s="9">
        <v>108.66</v>
      </c>
      <c r="G97" s="9">
        <v>35.369999999999997</v>
      </c>
      <c r="H97" s="7">
        <v>1</v>
      </c>
      <c r="I97" s="10">
        <f t="shared" si="2"/>
        <v>0.3255107675317504</v>
      </c>
      <c r="J97" s="7" t="str">
        <f t="shared" si="3"/>
        <v>Low</v>
      </c>
    </row>
    <row r="98" spans="1:10" x14ac:dyDescent="0.3">
      <c r="A98" s="7" t="s">
        <v>175</v>
      </c>
      <c r="B98" s="8" t="s">
        <v>172</v>
      </c>
      <c r="C98" s="7" t="s">
        <v>22</v>
      </c>
      <c r="D98" s="7" t="s">
        <v>74</v>
      </c>
      <c r="E98" s="7" t="s">
        <v>18</v>
      </c>
      <c r="F98" s="9">
        <v>691.5</v>
      </c>
      <c r="G98" s="9">
        <v>69.540000000000006</v>
      </c>
      <c r="H98" s="7">
        <v>3</v>
      </c>
      <c r="I98" s="10">
        <f t="shared" si="2"/>
        <v>0.10056399132321042</v>
      </c>
      <c r="J98" s="7" t="str">
        <f t="shared" si="3"/>
        <v>Low</v>
      </c>
    </row>
    <row r="99" spans="1:10" x14ac:dyDescent="0.3">
      <c r="A99" s="7" t="s">
        <v>176</v>
      </c>
      <c r="B99" s="8" t="s">
        <v>172</v>
      </c>
      <c r="C99" s="7" t="s">
        <v>20</v>
      </c>
      <c r="D99" s="7" t="s">
        <v>34</v>
      </c>
      <c r="E99" s="7" t="s">
        <v>24</v>
      </c>
      <c r="F99" s="9">
        <v>695.18</v>
      </c>
      <c r="G99" s="9">
        <v>155.9</v>
      </c>
      <c r="H99" s="7">
        <v>2</v>
      </c>
      <c r="I99" s="10">
        <f t="shared" si="2"/>
        <v>0.22425846543341296</v>
      </c>
      <c r="J99" s="7" t="str">
        <f t="shared" si="3"/>
        <v>Low</v>
      </c>
    </row>
    <row r="100" spans="1:10" x14ac:dyDescent="0.3">
      <c r="A100" s="7" t="s">
        <v>177</v>
      </c>
      <c r="B100" s="8" t="s">
        <v>178</v>
      </c>
      <c r="C100" s="7" t="s">
        <v>20</v>
      </c>
      <c r="D100" s="7" t="s">
        <v>57</v>
      </c>
      <c r="E100" s="7" t="s">
        <v>18</v>
      </c>
      <c r="F100" s="9">
        <v>170.71</v>
      </c>
      <c r="G100" s="9">
        <v>45.87</v>
      </c>
      <c r="H100" s="7">
        <v>1</v>
      </c>
      <c r="I100" s="10">
        <f t="shared" si="2"/>
        <v>0.26870130630894495</v>
      </c>
      <c r="J100" s="7" t="str">
        <f t="shared" si="3"/>
        <v>Low</v>
      </c>
    </row>
    <row r="101" spans="1:10" x14ac:dyDescent="0.3">
      <c r="A101" s="7" t="s">
        <v>179</v>
      </c>
      <c r="B101" s="8" t="s">
        <v>178</v>
      </c>
      <c r="C101" s="7" t="s">
        <v>20</v>
      </c>
      <c r="D101" s="7" t="s">
        <v>50</v>
      </c>
      <c r="E101" s="7" t="s">
        <v>14</v>
      </c>
      <c r="F101" s="9">
        <v>398.72</v>
      </c>
      <c r="G101" s="9">
        <v>162.13</v>
      </c>
      <c r="H101" s="7">
        <v>8</v>
      </c>
      <c r="I101" s="10">
        <f t="shared" si="2"/>
        <v>0.40662620385232739</v>
      </c>
      <c r="J101" s="7" t="str">
        <f t="shared" si="3"/>
        <v>Low</v>
      </c>
    </row>
    <row r="102" spans="1:10" x14ac:dyDescent="0.3">
      <c r="A102" s="7" t="s">
        <v>180</v>
      </c>
      <c r="B102" s="8" t="s">
        <v>181</v>
      </c>
      <c r="C102" s="7" t="s">
        <v>12</v>
      </c>
      <c r="D102" s="7" t="s">
        <v>63</v>
      </c>
      <c r="E102" s="7" t="s">
        <v>28</v>
      </c>
      <c r="F102" s="9">
        <v>557.66999999999996</v>
      </c>
      <c r="G102" s="9">
        <v>239.47</v>
      </c>
      <c r="H102" s="7">
        <v>3</v>
      </c>
      <c r="I102" s="10">
        <f t="shared" si="2"/>
        <v>0.42941165922498969</v>
      </c>
      <c r="J102" s="7" t="str">
        <f t="shared" si="3"/>
        <v>Low</v>
      </c>
    </row>
    <row r="103" spans="1:10" x14ac:dyDescent="0.3">
      <c r="A103" s="7" t="s">
        <v>182</v>
      </c>
      <c r="B103" s="8" t="s">
        <v>181</v>
      </c>
      <c r="C103" s="7" t="s">
        <v>12</v>
      </c>
      <c r="D103" s="7" t="s">
        <v>54</v>
      </c>
      <c r="E103" s="7" t="s">
        <v>28</v>
      </c>
      <c r="F103" s="9">
        <v>392.49</v>
      </c>
      <c r="G103" s="9">
        <v>148.16999999999999</v>
      </c>
      <c r="H103" s="7">
        <v>3</v>
      </c>
      <c r="I103" s="10">
        <f t="shared" si="2"/>
        <v>0.37751280287395855</v>
      </c>
      <c r="J103" s="7" t="str">
        <f t="shared" si="3"/>
        <v>Low</v>
      </c>
    </row>
    <row r="104" spans="1:10" x14ac:dyDescent="0.3">
      <c r="A104" s="7" t="s">
        <v>183</v>
      </c>
      <c r="B104" s="8" t="s">
        <v>181</v>
      </c>
      <c r="C104" s="7" t="s">
        <v>20</v>
      </c>
      <c r="D104" s="7" t="s">
        <v>38</v>
      </c>
      <c r="E104" s="7" t="s">
        <v>18</v>
      </c>
      <c r="F104" s="9">
        <v>400.02</v>
      </c>
      <c r="G104" s="9">
        <v>123.63</v>
      </c>
      <c r="H104" s="7">
        <v>1</v>
      </c>
      <c r="I104" s="10">
        <f t="shared" si="2"/>
        <v>0.30905954702264887</v>
      </c>
      <c r="J104" s="7" t="str">
        <f t="shared" si="3"/>
        <v>Low</v>
      </c>
    </row>
    <row r="105" spans="1:10" x14ac:dyDescent="0.3">
      <c r="A105" s="7" t="s">
        <v>184</v>
      </c>
      <c r="B105" s="8" t="s">
        <v>181</v>
      </c>
      <c r="C105" s="7" t="s">
        <v>12</v>
      </c>
      <c r="D105" s="7" t="s">
        <v>41</v>
      </c>
      <c r="E105" s="7" t="s">
        <v>28</v>
      </c>
      <c r="F105" s="9">
        <v>296.89</v>
      </c>
      <c r="G105" s="9">
        <v>139.36000000000001</v>
      </c>
      <c r="H105" s="7">
        <v>1</v>
      </c>
      <c r="I105" s="10">
        <f t="shared" si="2"/>
        <v>0.46939944087035607</v>
      </c>
      <c r="J105" s="7" t="str">
        <f t="shared" si="3"/>
        <v>Low</v>
      </c>
    </row>
    <row r="106" spans="1:10" x14ac:dyDescent="0.3">
      <c r="A106" s="7" t="s">
        <v>185</v>
      </c>
      <c r="B106" s="8" t="s">
        <v>181</v>
      </c>
      <c r="C106" s="7" t="s">
        <v>12</v>
      </c>
      <c r="D106" s="7" t="s">
        <v>34</v>
      </c>
      <c r="E106" s="7" t="s">
        <v>24</v>
      </c>
      <c r="F106" s="9">
        <v>698.4</v>
      </c>
      <c r="G106" s="9">
        <v>151.76</v>
      </c>
      <c r="H106" s="7">
        <v>2</v>
      </c>
      <c r="I106" s="10">
        <f t="shared" si="2"/>
        <v>0.21729667812142039</v>
      </c>
      <c r="J106" s="7" t="str">
        <f t="shared" si="3"/>
        <v>Low</v>
      </c>
    </row>
    <row r="107" spans="1:10" x14ac:dyDescent="0.3">
      <c r="A107" s="7" t="s">
        <v>186</v>
      </c>
      <c r="B107" s="8" t="s">
        <v>187</v>
      </c>
      <c r="C107" s="7" t="s">
        <v>32</v>
      </c>
      <c r="D107" s="7" t="s">
        <v>13</v>
      </c>
      <c r="E107" s="7" t="s">
        <v>14</v>
      </c>
      <c r="F107" s="9">
        <v>367.42</v>
      </c>
      <c r="G107" s="9">
        <v>83.66</v>
      </c>
      <c r="H107" s="7">
        <v>1</v>
      </c>
      <c r="I107" s="10">
        <f t="shared" si="2"/>
        <v>0.22769582494148385</v>
      </c>
      <c r="J107" s="7" t="str">
        <f t="shared" si="3"/>
        <v>Low</v>
      </c>
    </row>
    <row r="108" spans="1:10" x14ac:dyDescent="0.3">
      <c r="A108" s="7" t="s">
        <v>188</v>
      </c>
      <c r="B108" s="8" t="s">
        <v>189</v>
      </c>
      <c r="C108" s="7" t="s">
        <v>20</v>
      </c>
      <c r="D108" s="7" t="s">
        <v>57</v>
      </c>
      <c r="E108" s="7" t="s">
        <v>18</v>
      </c>
      <c r="F108" s="9">
        <v>716.72</v>
      </c>
      <c r="G108" s="9">
        <v>224.94</v>
      </c>
      <c r="H108" s="7">
        <v>4</v>
      </c>
      <c r="I108" s="10">
        <f t="shared" si="2"/>
        <v>0.31384641142984704</v>
      </c>
      <c r="J108" s="7" t="str">
        <f t="shared" si="3"/>
        <v>Low</v>
      </c>
    </row>
    <row r="109" spans="1:10" x14ac:dyDescent="0.3">
      <c r="A109" s="7" t="s">
        <v>190</v>
      </c>
      <c r="B109" s="8" t="s">
        <v>189</v>
      </c>
      <c r="C109" s="7" t="s">
        <v>20</v>
      </c>
      <c r="D109" s="7" t="s">
        <v>50</v>
      </c>
      <c r="E109" s="7" t="s">
        <v>14</v>
      </c>
      <c r="F109" s="9">
        <v>50.94</v>
      </c>
      <c r="G109" s="9">
        <v>21.55</v>
      </c>
      <c r="H109" s="7">
        <v>1</v>
      </c>
      <c r="I109" s="10">
        <f t="shared" si="2"/>
        <v>0.4230467216332941</v>
      </c>
      <c r="J109" s="7" t="str">
        <f t="shared" si="3"/>
        <v>Low</v>
      </c>
    </row>
    <row r="110" spans="1:10" x14ac:dyDescent="0.3">
      <c r="A110" s="7" t="s">
        <v>191</v>
      </c>
      <c r="B110" s="8" t="s">
        <v>189</v>
      </c>
      <c r="C110" s="7" t="s">
        <v>12</v>
      </c>
      <c r="D110" s="7" t="s">
        <v>85</v>
      </c>
      <c r="E110" s="7" t="s">
        <v>24</v>
      </c>
      <c r="F110" s="9">
        <v>2860.64</v>
      </c>
      <c r="G110" s="9">
        <v>1192.92</v>
      </c>
      <c r="H110" s="7">
        <v>8</v>
      </c>
      <c r="I110" s="10">
        <f t="shared" si="2"/>
        <v>0.41701157782873766</v>
      </c>
      <c r="J110" s="7" t="str">
        <f t="shared" si="3"/>
        <v>Medium</v>
      </c>
    </row>
    <row r="111" spans="1:10" x14ac:dyDescent="0.3">
      <c r="A111" s="7" t="s">
        <v>192</v>
      </c>
      <c r="B111" s="8" t="s">
        <v>189</v>
      </c>
      <c r="C111" s="7" t="s">
        <v>12</v>
      </c>
      <c r="D111" s="7" t="s">
        <v>63</v>
      </c>
      <c r="E111" s="7" t="s">
        <v>28</v>
      </c>
      <c r="F111" s="9">
        <v>799.52</v>
      </c>
      <c r="G111" s="9">
        <v>353.32</v>
      </c>
      <c r="H111" s="7">
        <v>4</v>
      </c>
      <c r="I111" s="10">
        <f t="shared" si="2"/>
        <v>0.44191514908945367</v>
      </c>
      <c r="J111" s="7" t="str">
        <f t="shared" si="3"/>
        <v>Low</v>
      </c>
    </row>
    <row r="112" spans="1:10" x14ac:dyDescent="0.3">
      <c r="A112" s="7" t="s">
        <v>193</v>
      </c>
      <c r="B112" s="8" t="s">
        <v>189</v>
      </c>
      <c r="C112" s="7" t="s">
        <v>22</v>
      </c>
      <c r="D112" s="7" t="s">
        <v>34</v>
      </c>
      <c r="E112" s="7" t="s">
        <v>24</v>
      </c>
      <c r="F112" s="9">
        <v>2226.7199999999998</v>
      </c>
      <c r="G112" s="9">
        <v>642.66999999999996</v>
      </c>
      <c r="H112" s="7">
        <v>6</v>
      </c>
      <c r="I112" s="10">
        <f t="shared" si="2"/>
        <v>0.28861733850686211</v>
      </c>
      <c r="J112" s="7" t="str">
        <f t="shared" si="3"/>
        <v>Medium</v>
      </c>
    </row>
    <row r="113" spans="1:10" x14ac:dyDescent="0.3">
      <c r="A113" s="7" t="s">
        <v>194</v>
      </c>
      <c r="B113" s="8" t="s">
        <v>189</v>
      </c>
      <c r="C113" s="7" t="s">
        <v>20</v>
      </c>
      <c r="D113" s="7" t="s">
        <v>60</v>
      </c>
      <c r="E113" s="7" t="s">
        <v>28</v>
      </c>
      <c r="F113" s="9">
        <v>1600.72</v>
      </c>
      <c r="G113" s="9">
        <v>645.11</v>
      </c>
      <c r="H113" s="7">
        <v>4</v>
      </c>
      <c r="I113" s="10">
        <f t="shared" si="2"/>
        <v>0.40301239442250986</v>
      </c>
      <c r="J113" s="7" t="str">
        <f t="shared" si="3"/>
        <v>Medium</v>
      </c>
    </row>
    <row r="114" spans="1:10" x14ac:dyDescent="0.3">
      <c r="A114" s="7" t="s">
        <v>195</v>
      </c>
      <c r="B114" s="8" t="s">
        <v>196</v>
      </c>
      <c r="C114" s="7" t="s">
        <v>12</v>
      </c>
      <c r="D114" s="7" t="s">
        <v>38</v>
      </c>
      <c r="E114" s="7" t="s">
        <v>18</v>
      </c>
      <c r="F114" s="9">
        <v>770.88</v>
      </c>
      <c r="G114" s="9">
        <v>231.75</v>
      </c>
      <c r="H114" s="7">
        <v>2</v>
      </c>
      <c r="I114" s="10">
        <f t="shared" si="2"/>
        <v>0.30063044831880448</v>
      </c>
      <c r="J114" s="7" t="str">
        <f t="shared" si="3"/>
        <v>Low</v>
      </c>
    </row>
    <row r="115" spans="1:10" x14ac:dyDescent="0.3">
      <c r="A115" s="7" t="s">
        <v>197</v>
      </c>
      <c r="B115" s="8" t="s">
        <v>196</v>
      </c>
      <c r="C115" s="7" t="s">
        <v>22</v>
      </c>
      <c r="D115" s="7" t="s">
        <v>70</v>
      </c>
      <c r="E115" s="7" t="s">
        <v>14</v>
      </c>
      <c r="F115" s="9">
        <v>346.7</v>
      </c>
      <c r="G115" s="9">
        <v>65.180000000000007</v>
      </c>
      <c r="H115" s="7">
        <v>1</v>
      </c>
      <c r="I115" s="10">
        <f t="shared" si="2"/>
        <v>0.18800115373521778</v>
      </c>
      <c r="J115" s="7" t="str">
        <f t="shared" si="3"/>
        <v>Low</v>
      </c>
    </row>
    <row r="116" spans="1:10" x14ac:dyDescent="0.3">
      <c r="A116" s="7" t="s">
        <v>198</v>
      </c>
      <c r="B116" s="8" t="s">
        <v>199</v>
      </c>
      <c r="C116" s="7" t="s">
        <v>20</v>
      </c>
      <c r="D116" s="7" t="s">
        <v>112</v>
      </c>
      <c r="E116" s="7" t="s">
        <v>14</v>
      </c>
      <c r="F116" s="9">
        <v>1230.3</v>
      </c>
      <c r="G116" s="9">
        <v>353.65</v>
      </c>
      <c r="H116" s="7">
        <v>3</v>
      </c>
      <c r="I116" s="10">
        <f t="shared" si="2"/>
        <v>0.28745021539461918</v>
      </c>
      <c r="J116" s="7" t="str">
        <f t="shared" si="3"/>
        <v>Low</v>
      </c>
    </row>
    <row r="117" spans="1:10" x14ac:dyDescent="0.3">
      <c r="A117" s="7" t="s">
        <v>200</v>
      </c>
      <c r="B117" s="8" t="s">
        <v>199</v>
      </c>
      <c r="C117" s="7" t="s">
        <v>22</v>
      </c>
      <c r="D117" s="7" t="s">
        <v>41</v>
      </c>
      <c r="E117" s="7" t="s">
        <v>28</v>
      </c>
      <c r="F117" s="9">
        <v>1206.28</v>
      </c>
      <c r="G117" s="9">
        <v>580.59</v>
      </c>
      <c r="H117" s="7">
        <v>4</v>
      </c>
      <c r="I117" s="10">
        <f t="shared" si="2"/>
        <v>0.48130616440627388</v>
      </c>
      <c r="J117" s="7" t="str">
        <f t="shared" si="3"/>
        <v>Low</v>
      </c>
    </row>
    <row r="118" spans="1:10" x14ac:dyDescent="0.3">
      <c r="A118" s="7" t="s">
        <v>201</v>
      </c>
      <c r="B118" s="8" t="s">
        <v>202</v>
      </c>
      <c r="C118" s="7" t="s">
        <v>22</v>
      </c>
      <c r="D118" s="7" t="s">
        <v>63</v>
      </c>
      <c r="E118" s="7" t="s">
        <v>28</v>
      </c>
      <c r="F118" s="9">
        <v>789.24</v>
      </c>
      <c r="G118" s="9">
        <v>366.03</v>
      </c>
      <c r="H118" s="7">
        <v>4</v>
      </c>
      <c r="I118" s="10">
        <f t="shared" si="2"/>
        <v>0.46377527748213465</v>
      </c>
      <c r="J118" s="7" t="str">
        <f t="shared" si="3"/>
        <v>Low</v>
      </c>
    </row>
    <row r="119" spans="1:10" x14ac:dyDescent="0.3">
      <c r="A119" s="7" t="s">
        <v>203</v>
      </c>
      <c r="B119" s="8" t="s">
        <v>202</v>
      </c>
      <c r="C119" s="7" t="s">
        <v>32</v>
      </c>
      <c r="D119" s="7" t="s">
        <v>79</v>
      </c>
      <c r="E119" s="7" t="s">
        <v>14</v>
      </c>
      <c r="F119" s="9">
        <v>1227.28</v>
      </c>
      <c r="G119" s="9">
        <v>437.85</v>
      </c>
      <c r="H119" s="7">
        <v>8</v>
      </c>
      <c r="I119" s="10">
        <f t="shared" si="2"/>
        <v>0.35676455250635553</v>
      </c>
      <c r="J119" s="7" t="str">
        <f t="shared" si="3"/>
        <v>Low</v>
      </c>
    </row>
    <row r="120" spans="1:10" x14ac:dyDescent="0.3">
      <c r="A120" s="7" t="s">
        <v>204</v>
      </c>
      <c r="B120" s="8" t="s">
        <v>205</v>
      </c>
      <c r="C120" s="7" t="s">
        <v>12</v>
      </c>
      <c r="D120" s="7" t="s">
        <v>70</v>
      </c>
      <c r="E120" s="7" t="s">
        <v>14</v>
      </c>
      <c r="F120" s="9">
        <v>361.84</v>
      </c>
      <c r="G120" s="9">
        <v>85.05</v>
      </c>
      <c r="H120" s="7">
        <v>1</v>
      </c>
      <c r="I120" s="10">
        <f t="shared" si="2"/>
        <v>0.23504864028299802</v>
      </c>
      <c r="J120" s="7" t="str">
        <f t="shared" si="3"/>
        <v>Low</v>
      </c>
    </row>
    <row r="121" spans="1:10" x14ac:dyDescent="0.3">
      <c r="A121" s="7" t="s">
        <v>206</v>
      </c>
      <c r="B121" s="8" t="s">
        <v>205</v>
      </c>
      <c r="C121" s="7" t="s">
        <v>20</v>
      </c>
      <c r="D121" s="7" t="s">
        <v>112</v>
      </c>
      <c r="E121" s="7" t="s">
        <v>14</v>
      </c>
      <c r="F121" s="9">
        <v>2480.2199999999998</v>
      </c>
      <c r="G121" s="9">
        <v>785.67</v>
      </c>
      <c r="H121" s="7">
        <v>6</v>
      </c>
      <c r="I121" s="10">
        <f t="shared" si="2"/>
        <v>0.31677431840723808</v>
      </c>
      <c r="J121" s="7" t="str">
        <f t="shared" si="3"/>
        <v>Medium</v>
      </c>
    </row>
    <row r="122" spans="1:10" x14ac:dyDescent="0.3">
      <c r="A122" s="7" t="s">
        <v>207</v>
      </c>
      <c r="B122" s="8" t="s">
        <v>205</v>
      </c>
      <c r="C122" s="7" t="s">
        <v>22</v>
      </c>
      <c r="D122" s="7" t="s">
        <v>54</v>
      </c>
      <c r="E122" s="7" t="s">
        <v>28</v>
      </c>
      <c r="F122" s="9">
        <v>639.6</v>
      </c>
      <c r="G122" s="9">
        <v>247.76</v>
      </c>
      <c r="H122" s="7">
        <v>5</v>
      </c>
      <c r="I122" s="10">
        <f t="shared" si="2"/>
        <v>0.38736710444027517</v>
      </c>
      <c r="J122" s="7" t="str">
        <f t="shared" si="3"/>
        <v>Low</v>
      </c>
    </row>
    <row r="123" spans="1:10" x14ac:dyDescent="0.3">
      <c r="A123" s="7" t="s">
        <v>208</v>
      </c>
      <c r="B123" s="8" t="s">
        <v>205</v>
      </c>
      <c r="C123" s="7" t="s">
        <v>22</v>
      </c>
      <c r="D123" s="7" t="s">
        <v>60</v>
      </c>
      <c r="E123" s="7" t="s">
        <v>28</v>
      </c>
      <c r="F123" s="9">
        <v>1144.6500000000001</v>
      </c>
      <c r="G123" s="9">
        <v>435.44</v>
      </c>
      <c r="H123" s="7">
        <v>3</v>
      </c>
      <c r="I123" s="10">
        <f t="shared" si="2"/>
        <v>0.38041322675053507</v>
      </c>
      <c r="J123" s="7" t="str">
        <f t="shared" si="3"/>
        <v>Low</v>
      </c>
    </row>
    <row r="124" spans="1:10" x14ac:dyDescent="0.3">
      <c r="A124" s="7" t="s">
        <v>209</v>
      </c>
      <c r="B124" s="8" t="s">
        <v>210</v>
      </c>
      <c r="C124" s="7" t="s">
        <v>22</v>
      </c>
      <c r="D124" s="7" t="s">
        <v>74</v>
      </c>
      <c r="E124" s="7" t="s">
        <v>18</v>
      </c>
      <c r="F124" s="9">
        <v>506.82</v>
      </c>
      <c r="G124" s="9">
        <v>94.36</v>
      </c>
      <c r="H124" s="7">
        <v>2</v>
      </c>
      <c r="I124" s="10">
        <f t="shared" si="2"/>
        <v>0.18618049800718203</v>
      </c>
      <c r="J124" s="7" t="str">
        <f t="shared" si="3"/>
        <v>Low</v>
      </c>
    </row>
    <row r="125" spans="1:10" x14ac:dyDescent="0.3">
      <c r="A125" s="7" t="s">
        <v>211</v>
      </c>
      <c r="B125" s="8" t="s">
        <v>210</v>
      </c>
      <c r="C125" s="7" t="s">
        <v>12</v>
      </c>
      <c r="D125" s="7" t="s">
        <v>43</v>
      </c>
      <c r="E125" s="7" t="s">
        <v>24</v>
      </c>
      <c r="F125" s="9">
        <v>99.48</v>
      </c>
      <c r="G125" s="9">
        <v>20.56</v>
      </c>
      <c r="H125" s="7">
        <v>1</v>
      </c>
      <c r="I125" s="10">
        <f t="shared" si="2"/>
        <v>0.2066747084841174</v>
      </c>
      <c r="J125" s="7" t="str">
        <f t="shared" si="3"/>
        <v>Low</v>
      </c>
    </row>
    <row r="126" spans="1:10" x14ac:dyDescent="0.3">
      <c r="A126" s="7" t="s">
        <v>212</v>
      </c>
      <c r="B126" s="8" t="s">
        <v>210</v>
      </c>
      <c r="C126" s="7" t="s">
        <v>20</v>
      </c>
      <c r="D126" s="7" t="s">
        <v>34</v>
      </c>
      <c r="E126" s="7" t="s">
        <v>24</v>
      </c>
      <c r="F126" s="9">
        <v>728.04</v>
      </c>
      <c r="G126" s="9">
        <v>180.18</v>
      </c>
      <c r="H126" s="7">
        <v>2</v>
      </c>
      <c r="I126" s="10">
        <f t="shared" si="2"/>
        <v>0.24748640184605245</v>
      </c>
      <c r="J126" s="7" t="str">
        <f t="shared" si="3"/>
        <v>Low</v>
      </c>
    </row>
    <row r="127" spans="1:10" x14ac:dyDescent="0.3">
      <c r="A127" s="7" t="s">
        <v>213</v>
      </c>
      <c r="B127" s="8" t="s">
        <v>210</v>
      </c>
      <c r="C127" s="7" t="s">
        <v>32</v>
      </c>
      <c r="D127" s="7" t="s">
        <v>13</v>
      </c>
      <c r="E127" s="7" t="s">
        <v>14</v>
      </c>
      <c r="F127" s="9">
        <v>1881.75</v>
      </c>
      <c r="G127" s="9">
        <v>507.65</v>
      </c>
      <c r="H127" s="7">
        <v>5</v>
      </c>
      <c r="I127" s="10">
        <f t="shared" si="2"/>
        <v>0.26977547495682208</v>
      </c>
      <c r="J127" s="7" t="str">
        <f t="shared" si="3"/>
        <v>Medium</v>
      </c>
    </row>
    <row r="128" spans="1:10" x14ac:dyDescent="0.3">
      <c r="A128" s="7" t="s">
        <v>214</v>
      </c>
      <c r="B128" s="8" t="s">
        <v>215</v>
      </c>
      <c r="C128" s="7" t="s">
        <v>32</v>
      </c>
      <c r="D128" s="7" t="s">
        <v>17</v>
      </c>
      <c r="E128" s="7" t="s">
        <v>18</v>
      </c>
      <c r="F128" s="9">
        <v>716.64</v>
      </c>
      <c r="G128" s="9">
        <v>163.43</v>
      </c>
      <c r="H128" s="7">
        <v>2</v>
      </c>
      <c r="I128" s="10">
        <f t="shared" si="2"/>
        <v>0.22805034605938826</v>
      </c>
      <c r="J128" s="7" t="str">
        <f t="shared" si="3"/>
        <v>Low</v>
      </c>
    </row>
    <row r="129" spans="1:10" x14ac:dyDescent="0.3">
      <c r="A129" s="7" t="s">
        <v>216</v>
      </c>
      <c r="B129" s="8" t="s">
        <v>215</v>
      </c>
      <c r="C129" s="7" t="s">
        <v>20</v>
      </c>
      <c r="D129" s="7" t="s">
        <v>43</v>
      </c>
      <c r="E129" s="7" t="s">
        <v>24</v>
      </c>
      <c r="F129" s="9">
        <v>98.64</v>
      </c>
      <c r="G129" s="9">
        <v>22.04</v>
      </c>
      <c r="H129" s="7">
        <v>1</v>
      </c>
      <c r="I129" s="10">
        <f t="shared" si="2"/>
        <v>0.22343876723438766</v>
      </c>
      <c r="J129" s="7" t="str">
        <f t="shared" si="3"/>
        <v>Low</v>
      </c>
    </row>
    <row r="130" spans="1:10" x14ac:dyDescent="0.3">
      <c r="A130" s="7" t="s">
        <v>217</v>
      </c>
      <c r="B130" s="8" t="s">
        <v>215</v>
      </c>
      <c r="C130" s="7" t="s">
        <v>20</v>
      </c>
      <c r="D130" s="7" t="s">
        <v>79</v>
      </c>
      <c r="E130" s="7" t="s">
        <v>14</v>
      </c>
      <c r="F130" s="9">
        <v>158.85</v>
      </c>
      <c r="G130" s="9">
        <v>60.25</v>
      </c>
      <c r="H130" s="7">
        <v>1</v>
      </c>
      <c r="I130" s="10">
        <f t="shared" ref="I130:I193" si="4">IFERROR(G130/F130,0)</f>
        <v>0.37928863707900534</v>
      </c>
      <c r="J130" s="7" t="str">
        <f t="shared" ref="J130:J193" si="5">IF(F130&gt;5000,"High",IF(F130&gt;1500,"Medium","Low"))</f>
        <v>Low</v>
      </c>
    </row>
    <row r="131" spans="1:10" x14ac:dyDescent="0.3">
      <c r="A131" s="7" t="s">
        <v>218</v>
      </c>
      <c r="B131" s="8" t="s">
        <v>215</v>
      </c>
      <c r="C131" s="7" t="s">
        <v>12</v>
      </c>
      <c r="D131" s="7" t="s">
        <v>43</v>
      </c>
      <c r="E131" s="7" t="s">
        <v>24</v>
      </c>
      <c r="F131" s="9">
        <v>215.18</v>
      </c>
      <c r="G131" s="9">
        <v>59.31</v>
      </c>
      <c r="H131" s="7">
        <v>2</v>
      </c>
      <c r="I131" s="10">
        <f t="shared" si="4"/>
        <v>0.27562970536295195</v>
      </c>
      <c r="J131" s="7" t="str">
        <f t="shared" si="5"/>
        <v>Low</v>
      </c>
    </row>
    <row r="132" spans="1:10" x14ac:dyDescent="0.3">
      <c r="A132" s="7" t="s">
        <v>219</v>
      </c>
      <c r="B132" s="8" t="s">
        <v>220</v>
      </c>
      <c r="C132" s="7" t="s">
        <v>22</v>
      </c>
      <c r="D132" s="7" t="s">
        <v>63</v>
      </c>
      <c r="E132" s="7" t="s">
        <v>28</v>
      </c>
      <c r="F132" s="9">
        <v>722.2</v>
      </c>
      <c r="G132" s="9">
        <v>291.39</v>
      </c>
      <c r="H132" s="7">
        <v>4</v>
      </c>
      <c r="I132" s="10">
        <f t="shared" si="4"/>
        <v>0.4034754915535862</v>
      </c>
      <c r="J132" s="7" t="str">
        <f t="shared" si="5"/>
        <v>Low</v>
      </c>
    </row>
    <row r="133" spans="1:10" x14ac:dyDescent="0.3">
      <c r="A133" s="7" t="s">
        <v>221</v>
      </c>
      <c r="B133" s="8" t="s">
        <v>222</v>
      </c>
      <c r="C133" s="7" t="s">
        <v>22</v>
      </c>
      <c r="D133" s="7" t="s">
        <v>38</v>
      </c>
      <c r="E133" s="7" t="s">
        <v>18</v>
      </c>
      <c r="F133" s="9">
        <v>1205.76</v>
      </c>
      <c r="G133" s="9">
        <v>388.37</v>
      </c>
      <c r="H133" s="7">
        <v>3</v>
      </c>
      <c r="I133" s="10">
        <f t="shared" si="4"/>
        <v>0.32209560774946921</v>
      </c>
      <c r="J133" s="7" t="str">
        <f t="shared" si="5"/>
        <v>Low</v>
      </c>
    </row>
    <row r="134" spans="1:10" x14ac:dyDescent="0.3">
      <c r="A134" s="7" t="s">
        <v>223</v>
      </c>
      <c r="B134" s="8" t="s">
        <v>224</v>
      </c>
      <c r="C134" s="7" t="s">
        <v>22</v>
      </c>
      <c r="D134" s="7" t="s">
        <v>34</v>
      </c>
      <c r="E134" s="7" t="s">
        <v>24</v>
      </c>
      <c r="F134" s="9">
        <v>359.81</v>
      </c>
      <c r="G134" s="9">
        <v>95.23</v>
      </c>
      <c r="H134" s="7">
        <v>1</v>
      </c>
      <c r="I134" s="10">
        <f t="shared" si="4"/>
        <v>0.26466746338345237</v>
      </c>
      <c r="J134" s="7" t="str">
        <f t="shared" si="5"/>
        <v>Low</v>
      </c>
    </row>
    <row r="135" spans="1:10" x14ac:dyDescent="0.3">
      <c r="A135" s="7" t="s">
        <v>225</v>
      </c>
      <c r="B135" s="8" t="s">
        <v>224</v>
      </c>
      <c r="C135" s="7" t="s">
        <v>20</v>
      </c>
      <c r="D135" s="7" t="s">
        <v>34</v>
      </c>
      <c r="E135" s="7" t="s">
        <v>24</v>
      </c>
      <c r="F135" s="9">
        <v>674.88</v>
      </c>
      <c r="G135" s="9">
        <v>147.80000000000001</v>
      </c>
      <c r="H135" s="7">
        <v>2</v>
      </c>
      <c r="I135" s="10">
        <f t="shared" si="4"/>
        <v>0.21900189663347561</v>
      </c>
      <c r="J135" s="7" t="str">
        <f t="shared" si="5"/>
        <v>Low</v>
      </c>
    </row>
    <row r="136" spans="1:10" x14ac:dyDescent="0.3">
      <c r="A136" s="7" t="s">
        <v>226</v>
      </c>
      <c r="B136" s="8" t="s">
        <v>224</v>
      </c>
      <c r="C136" s="7" t="s">
        <v>12</v>
      </c>
      <c r="D136" s="7" t="s">
        <v>17</v>
      </c>
      <c r="E136" s="7" t="s">
        <v>18</v>
      </c>
      <c r="F136" s="9">
        <v>747.5</v>
      </c>
      <c r="G136" s="9">
        <v>186.91</v>
      </c>
      <c r="H136" s="7">
        <v>2</v>
      </c>
      <c r="I136" s="10">
        <f t="shared" si="4"/>
        <v>0.25004682274247492</v>
      </c>
      <c r="J136" s="7" t="str">
        <f t="shared" si="5"/>
        <v>Low</v>
      </c>
    </row>
    <row r="137" spans="1:10" x14ac:dyDescent="0.3">
      <c r="A137" s="7" t="s">
        <v>227</v>
      </c>
      <c r="B137" s="8" t="s">
        <v>224</v>
      </c>
      <c r="C137" s="7" t="s">
        <v>32</v>
      </c>
      <c r="D137" s="7" t="s">
        <v>57</v>
      </c>
      <c r="E137" s="7" t="s">
        <v>18</v>
      </c>
      <c r="F137" s="9">
        <v>322.60000000000002</v>
      </c>
      <c r="G137" s="9">
        <v>68.23</v>
      </c>
      <c r="H137" s="7">
        <v>2</v>
      </c>
      <c r="I137" s="10">
        <f t="shared" si="4"/>
        <v>0.21150030998140112</v>
      </c>
      <c r="J137" s="7" t="str">
        <f t="shared" si="5"/>
        <v>Low</v>
      </c>
    </row>
    <row r="138" spans="1:10" x14ac:dyDescent="0.3">
      <c r="A138" s="7" t="s">
        <v>228</v>
      </c>
      <c r="B138" s="8" t="s">
        <v>229</v>
      </c>
      <c r="C138" s="7" t="s">
        <v>20</v>
      </c>
      <c r="D138" s="7" t="s">
        <v>41</v>
      </c>
      <c r="E138" s="7" t="s">
        <v>28</v>
      </c>
      <c r="F138" s="9">
        <v>1780.74</v>
      </c>
      <c r="G138" s="9">
        <v>851.49</v>
      </c>
      <c r="H138" s="7">
        <v>6</v>
      </c>
      <c r="I138" s="10">
        <f t="shared" si="4"/>
        <v>0.47816638026887698</v>
      </c>
      <c r="J138" s="7" t="str">
        <f t="shared" si="5"/>
        <v>Medium</v>
      </c>
    </row>
    <row r="139" spans="1:10" x14ac:dyDescent="0.3">
      <c r="A139" s="7" t="s">
        <v>230</v>
      </c>
      <c r="B139" s="8" t="s">
        <v>229</v>
      </c>
      <c r="C139" s="7" t="s">
        <v>12</v>
      </c>
      <c r="D139" s="7" t="s">
        <v>112</v>
      </c>
      <c r="E139" s="7" t="s">
        <v>14</v>
      </c>
      <c r="F139" s="9">
        <v>3303.52</v>
      </c>
      <c r="G139" s="9">
        <v>1014.71</v>
      </c>
      <c r="H139" s="7">
        <v>8</v>
      </c>
      <c r="I139" s="10">
        <f t="shared" si="4"/>
        <v>0.30716024119726837</v>
      </c>
      <c r="J139" s="7" t="str">
        <f t="shared" si="5"/>
        <v>Medium</v>
      </c>
    </row>
    <row r="140" spans="1:10" x14ac:dyDescent="0.3">
      <c r="A140" s="7" t="s">
        <v>231</v>
      </c>
      <c r="B140" s="8" t="s">
        <v>232</v>
      </c>
      <c r="C140" s="7" t="s">
        <v>20</v>
      </c>
      <c r="D140" s="7" t="s">
        <v>63</v>
      </c>
      <c r="E140" s="7" t="s">
        <v>28</v>
      </c>
      <c r="F140" s="9">
        <v>1167.06</v>
      </c>
      <c r="G140" s="9">
        <v>518.57000000000005</v>
      </c>
      <c r="H140" s="7">
        <v>6</v>
      </c>
      <c r="I140" s="10">
        <f t="shared" si="4"/>
        <v>0.44433876578753456</v>
      </c>
      <c r="J140" s="7" t="str">
        <f t="shared" si="5"/>
        <v>Low</v>
      </c>
    </row>
    <row r="141" spans="1:10" x14ac:dyDescent="0.3">
      <c r="A141" s="7" t="s">
        <v>233</v>
      </c>
      <c r="B141" s="8" t="s">
        <v>232</v>
      </c>
      <c r="C141" s="7" t="s">
        <v>22</v>
      </c>
      <c r="D141" s="7" t="s">
        <v>112</v>
      </c>
      <c r="E141" s="7" t="s">
        <v>14</v>
      </c>
      <c r="F141" s="9">
        <v>436.33</v>
      </c>
      <c r="G141" s="9">
        <v>167.35</v>
      </c>
      <c r="H141" s="7">
        <v>1</v>
      </c>
      <c r="I141" s="10">
        <f t="shared" si="4"/>
        <v>0.38353998120688471</v>
      </c>
      <c r="J141" s="7" t="str">
        <f t="shared" si="5"/>
        <v>Low</v>
      </c>
    </row>
    <row r="142" spans="1:10" x14ac:dyDescent="0.3">
      <c r="A142" s="7" t="s">
        <v>234</v>
      </c>
      <c r="B142" s="8" t="s">
        <v>232</v>
      </c>
      <c r="C142" s="7" t="s">
        <v>20</v>
      </c>
      <c r="D142" s="7" t="s">
        <v>43</v>
      </c>
      <c r="E142" s="7" t="s">
        <v>24</v>
      </c>
      <c r="F142" s="9">
        <v>98.74</v>
      </c>
      <c r="G142" s="9">
        <v>19.96</v>
      </c>
      <c r="H142" s="7">
        <v>1</v>
      </c>
      <c r="I142" s="10">
        <f t="shared" si="4"/>
        <v>0.20214705286611304</v>
      </c>
      <c r="J142" s="7" t="str">
        <f t="shared" si="5"/>
        <v>Low</v>
      </c>
    </row>
    <row r="143" spans="1:10" x14ac:dyDescent="0.3">
      <c r="A143" s="7" t="s">
        <v>235</v>
      </c>
      <c r="B143" s="8" t="s">
        <v>236</v>
      </c>
      <c r="C143" s="7" t="s">
        <v>22</v>
      </c>
      <c r="D143" s="7" t="s">
        <v>27</v>
      </c>
      <c r="E143" s="7" t="s">
        <v>28</v>
      </c>
      <c r="F143" s="9">
        <v>954.18</v>
      </c>
      <c r="G143" s="9">
        <v>177.19</v>
      </c>
      <c r="H143" s="7">
        <v>3</v>
      </c>
      <c r="I143" s="10">
        <f t="shared" si="4"/>
        <v>0.18569871512712488</v>
      </c>
      <c r="J143" s="7" t="str">
        <f t="shared" si="5"/>
        <v>Low</v>
      </c>
    </row>
    <row r="144" spans="1:10" x14ac:dyDescent="0.3">
      <c r="A144" s="7" t="s">
        <v>237</v>
      </c>
      <c r="B144" s="8" t="s">
        <v>238</v>
      </c>
      <c r="C144" s="7" t="s">
        <v>22</v>
      </c>
      <c r="D144" s="7" t="s">
        <v>112</v>
      </c>
      <c r="E144" s="7" t="s">
        <v>14</v>
      </c>
      <c r="F144" s="9">
        <v>835.28</v>
      </c>
      <c r="G144" s="9">
        <v>255.56</v>
      </c>
      <c r="H144" s="7">
        <v>2</v>
      </c>
      <c r="I144" s="10">
        <f t="shared" si="4"/>
        <v>0.30595728378507808</v>
      </c>
      <c r="J144" s="7" t="str">
        <f t="shared" si="5"/>
        <v>Low</v>
      </c>
    </row>
    <row r="145" spans="1:10" x14ac:dyDescent="0.3">
      <c r="A145" s="7" t="s">
        <v>239</v>
      </c>
      <c r="B145" s="8" t="s">
        <v>238</v>
      </c>
      <c r="C145" s="7" t="s">
        <v>12</v>
      </c>
      <c r="D145" s="7" t="s">
        <v>34</v>
      </c>
      <c r="E145" s="7" t="s">
        <v>24</v>
      </c>
      <c r="F145" s="9">
        <v>1099.32</v>
      </c>
      <c r="G145" s="9">
        <v>300.77</v>
      </c>
      <c r="H145" s="7">
        <v>3</v>
      </c>
      <c r="I145" s="10">
        <f t="shared" si="4"/>
        <v>0.27359640505039479</v>
      </c>
      <c r="J145" s="7" t="str">
        <f t="shared" si="5"/>
        <v>Low</v>
      </c>
    </row>
    <row r="146" spans="1:10" x14ac:dyDescent="0.3">
      <c r="A146" s="7" t="s">
        <v>240</v>
      </c>
      <c r="B146" s="8" t="s">
        <v>241</v>
      </c>
      <c r="C146" s="7" t="s">
        <v>20</v>
      </c>
      <c r="D146" s="7" t="s">
        <v>70</v>
      </c>
      <c r="E146" s="7" t="s">
        <v>14</v>
      </c>
      <c r="F146" s="9">
        <v>681.88</v>
      </c>
      <c r="G146" s="9">
        <v>142.59</v>
      </c>
      <c r="H146" s="7">
        <v>2</v>
      </c>
      <c r="I146" s="10">
        <f t="shared" si="4"/>
        <v>0.20911304041766882</v>
      </c>
      <c r="J146" s="7" t="str">
        <f t="shared" si="5"/>
        <v>Low</v>
      </c>
    </row>
    <row r="147" spans="1:10" x14ac:dyDescent="0.3">
      <c r="A147" s="7" t="s">
        <v>242</v>
      </c>
      <c r="B147" s="8" t="s">
        <v>241</v>
      </c>
      <c r="C147" s="7" t="s">
        <v>20</v>
      </c>
      <c r="D147" s="7" t="s">
        <v>13</v>
      </c>
      <c r="E147" s="7" t="s">
        <v>14</v>
      </c>
      <c r="F147" s="9">
        <v>352.45</v>
      </c>
      <c r="G147" s="9">
        <v>64.209999999999994</v>
      </c>
      <c r="H147" s="7">
        <v>1</v>
      </c>
      <c r="I147" s="10">
        <f t="shared" si="4"/>
        <v>0.18218186976876152</v>
      </c>
      <c r="J147" s="7" t="str">
        <f t="shared" si="5"/>
        <v>Low</v>
      </c>
    </row>
    <row r="148" spans="1:10" x14ac:dyDescent="0.3">
      <c r="A148" s="7" t="s">
        <v>243</v>
      </c>
      <c r="B148" s="8" t="s">
        <v>244</v>
      </c>
      <c r="C148" s="7" t="s">
        <v>12</v>
      </c>
      <c r="D148" s="7" t="s">
        <v>50</v>
      </c>
      <c r="E148" s="7" t="s">
        <v>14</v>
      </c>
      <c r="F148" s="9">
        <v>100.32</v>
      </c>
      <c r="G148" s="9">
        <v>40.76</v>
      </c>
      <c r="H148" s="7">
        <v>2</v>
      </c>
      <c r="I148" s="10">
        <f t="shared" si="4"/>
        <v>0.40629984051036683</v>
      </c>
      <c r="J148" s="7" t="str">
        <f t="shared" si="5"/>
        <v>Low</v>
      </c>
    </row>
    <row r="149" spans="1:10" x14ac:dyDescent="0.3">
      <c r="A149" s="7" t="s">
        <v>245</v>
      </c>
      <c r="B149" s="8" t="s">
        <v>246</v>
      </c>
      <c r="C149" s="7" t="s">
        <v>20</v>
      </c>
      <c r="D149" s="7" t="s">
        <v>54</v>
      </c>
      <c r="E149" s="7" t="s">
        <v>28</v>
      </c>
      <c r="F149" s="9">
        <v>663.55</v>
      </c>
      <c r="G149" s="9">
        <v>259.88</v>
      </c>
      <c r="H149" s="7">
        <v>5</v>
      </c>
      <c r="I149" s="10">
        <f t="shared" si="4"/>
        <v>0.39165096827669355</v>
      </c>
      <c r="J149" s="7" t="str">
        <f t="shared" si="5"/>
        <v>Low</v>
      </c>
    </row>
    <row r="150" spans="1:10" x14ac:dyDescent="0.3">
      <c r="A150" s="7" t="s">
        <v>247</v>
      </c>
      <c r="B150" s="8" t="s">
        <v>248</v>
      </c>
      <c r="C150" s="7" t="s">
        <v>22</v>
      </c>
      <c r="D150" s="7" t="s">
        <v>89</v>
      </c>
      <c r="E150" s="7" t="s">
        <v>24</v>
      </c>
      <c r="F150" s="9">
        <v>597.58000000000004</v>
      </c>
      <c r="G150" s="9">
        <v>163.38999999999999</v>
      </c>
      <c r="H150" s="7">
        <v>2</v>
      </c>
      <c r="I150" s="10">
        <f t="shared" si="4"/>
        <v>0.27341945848254623</v>
      </c>
      <c r="J150" s="7" t="str">
        <f t="shared" si="5"/>
        <v>Low</v>
      </c>
    </row>
    <row r="151" spans="1:10" x14ac:dyDescent="0.3">
      <c r="A151" s="7" t="s">
        <v>249</v>
      </c>
      <c r="B151" s="8" t="s">
        <v>248</v>
      </c>
      <c r="C151" s="7" t="s">
        <v>22</v>
      </c>
      <c r="D151" s="7" t="s">
        <v>112</v>
      </c>
      <c r="E151" s="7" t="s">
        <v>14</v>
      </c>
      <c r="F151" s="9">
        <v>878.88</v>
      </c>
      <c r="G151" s="9">
        <v>329.98</v>
      </c>
      <c r="H151" s="7">
        <v>2</v>
      </c>
      <c r="I151" s="10">
        <f t="shared" si="4"/>
        <v>0.37545512470416897</v>
      </c>
      <c r="J151" s="7" t="str">
        <f t="shared" si="5"/>
        <v>Low</v>
      </c>
    </row>
    <row r="152" spans="1:10" x14ac:dyDescent="0.3">
      <c r="A152" s="7" t="s">
        <v>250</v>
      </c>
      <c r="B152" s="8" t="s">
        <v>248</v>
      </c>
      <c r="C152" s="7" t="s">
        <v>20</v>
      </c>
      <c r="D152" s="7" t="s">
        <v>89</v>
      </c>
      <c r="E152" s="7" t="s">
        <v>24</v>
      </c>
      <c r="F152" s="9">
        <v>307.42</v>
      </c>
      <c r="G152" s="9">
        <v>106.79</v>
      </c>
      <c r="H152" s="7">
        <v>1</v>
      </c>
      <c r="I152" s="10">
        <f t="shared" si="4"/>
        <v>0.34737492681022708</v>
      </c>
      <c r="J152" s="7" t="str">
        <f t="shared" si="5"/>
        <v>Low</v>
      </c>
    </row>
    <row r="153" spans="1:10" x14ac:dyDescent="0.3">
      <c r="A153" s="7" t="s">
        <v>251</v>
      </c>
      <c r="B153" s="8" t="s">
        <v>252</v>
      </c>
      <c r="C153" s="7" t="s">
        <v>32</v>
      </c>
      <c r="D153" s="7" t="s">
        <v>63</v>
      </c>
      <c r="E153" s="7" t="s">
        <v>28</v>
      </c>
      <c r="F153" s="9">
        <v>764.64</v>
      </c>
      <c r="G153" s="9">
        <v>335.95</v>
      </c>
      <c r="H153" s="7">
        <v>4</v>
      </c>
      <c r="I153" s="10">
        <f t="shared" si="4"/>
        <v>0.43935708307177235</v>
      </c>
      <c r="J153" s="7" t="str">
        <f t="shared" si="5"/>
        <v>Low</v>
      </c>
    </row>
    <row r="154" spans="1:10" x14ac:dyDescent="0.3">
      <c r="A154" s="7" t="s">
        <v>253</v>
      </c>
      <c r="B154" s="8" t="s">
        <v>252</v>
      </c>
      <c r="C154" s="7" t="s">
        <v>32</v>
      </c>
      <c r="D154" s="7" t="s">
        <v>254</v>
      </c>
      <c r="E154" s="7" t="s">
        <v>24</v>
      </c>
      <c r="F154" s="9">
        <v>110.28</v>
      </c>
      <c r="G154" s="9">
        <v>39.380000000000003</v>
      </c>
      <c r="H154" s="7">
        <v>6</v>
      </c>
      <c r="I154" s="10">
        <f t="shared" si="4"/>
        <v>0.35709104098657962</v>
      </c>
      <c r="J154" s="7" t="str">
        <f t="shared" si="5"/>
        <v>Low</v>
      </c>
    </row>
    <row r="155" spans="1:10" x14ac:dyDescent="0.3">
      <c r="A155" s="7" t="s">
        <v>255</v>
      </c>
      <c r="B155" s="8" t="s">
        <v>252</v>
      </c>
      <c r="C155" s="7" t="s">
        <v>20</v>
      </c>
      <c r="D155" s="7" t="s">
        <v>60</v>
      </c>
      <c r="E155" s="7" t="s">
        <v>28</v>
      </c>
      <c r="F155" s="9">
        <v>2397.48</v>
      </c>
      <c r="G155" s="9">
        <v>1062.29</v>
      </c>
      <c r="H155" s="7">
        <v>6</v>
      </c>
      <c r="I155" s="10">
        <f t="shared" si="4"/>
        <v>0.44308607371072956</v>
      </c>
      <c r="J155" s="7" t="str">
        <f t="shared" si="5"/>
        <v>Medium</v>
      </c>
    </row>
    <row r="156" spans="1:10" x14ac:dyDescent="0.3">
      <c r="A156" s="7" t="s">
        <v>256</v>
      </c>
      <c r="B156" s="8" t="s">
        <v>257</v>
      </c>
      <c r="C156" s="7" t="s">
        <v>22</v>
      </c>
      <c r="D156" s="7" t="s">
        <v>112</v>
      </c>
      <c r="E156" s="7" t="s">
        <v>14</v>
      </c>
      <c r="F156" s="9">
        <v>4380.3999999999996</v>
      </c>
      <c r="G156" s="9">
        <v>1630.44</v>
      </c>
      <c r="H156" s="7">
        <v>10</v>
      </c>
      <c r="I156" s="10">
        <f t="shared" si="4"/>
        <v>0.37221258332572371</v>
      </c>
      <c r="J156" s="7" t="str">
        <f t="shared" si="5"/>
        <v>Medium</v>
      </c>
    </row>
    <row r="157" spans="1:10" x14ac:dyDescent="0.3">
      <c r="A157" s="7" t="s">
        <v>258</v>
      </c>
      <c r="B157" s="8" t="s">
        <v>257</v>
      </c>
      <c r="C157" s="7" t="s">
        <v>20</v>
      </c>
      <c r="D157" s="7" t="s">
        <v>13</v>
      </c>
      <c r="E157" s="7" t="s">
        <v>14</v>
      </c>
      <c r="F157" s="9">
        <v>355.33</v>
      </c>
      <c r="G157" s="9">
        <v>67.819999999999993</v>
      </c>
      <c r="H157" s="7">
        <v>1</v>
      </c>
      <c r="I157" s="10">
        <f t="shared" si="4"/>
        <v>0.19086482987645287</v>
      </c>
      <c r="J157" s="7" t="str">
        <f t="shared" si="5"/>
        <v>Low</v>
      </c>
    </row>
    <row r="158" spans="1:10" x14ac:dyDescent="0.3">
      <c r="A158" s="7" t="s">
        <v>259</v>
      </c>
      <c r="B158" s="8" t="s">
        <v>257</v>
      </c>
      <c r="C158" s="7" t="s">
        <v>32</v>
      </c>
      <c r="D158" s="7" t="s">
        <v>50</v>
      </c>
      <c r="E158" s="7" t="s">
        <v>14</v>
      </c>
      <c r="F158" s="9">
        <v>47.3</v>
      </c>
      <c r="G158" s="9">
        <v>18.07</v>
      </c>
      <c r="H158" s="7">
        <v>1</v>
      </c>
      <c r="I158" s="10">
        <f t="shared" si="4"/>
        <v>0.38202959830866812</v>
      </c>
      <c r="J158" s="7" t="str">
        <f t="shared" si="5"/>
        <v>Low</v>
      </c>
    </row>
    <row r="159" spans="1:10" x14ac:dyDescent="0.3">
      <c r="A159" s="7" t="s">
        <v>260</v>
      </c>
      <c r="B159" s="8" t="s">
        <v>257</v>
      </c>
      <c r="C159" s="7" t="s">
        <v>22</v>
      </c>
      <c r="D159" s="7" t="s">
        <v>38</v>
      </c>
      <c r="E159" s="7" t="s">
        <v>18</v>
      </c>
      <c r="F159" s="9">
        <v>397.31</v>
      </c>
      <c r="G159" s="9">
        <v>121.47</v>
      </c>
      <c r="H159" s="7">
        <v>1</v>
      </c>
      <c r="I159" s="10">
        <f t="shared" si="4"/>
        <v>0.30573104125242256</v>
      </c>
      <c r="J159" s="7" t="str">
        <f t="shared" si="5"/>
        <v>Low</v>
      </c>
    </row>
    <row r="160" spans="1:10" x14ac:dyDescent="0.3">
      <c r="A160" s="7" t="s">
        <v>261</v>
      </c>
      <c r="B160" s="8" t="s">
        <v>257</v>
      </c>
      <c r="C160" s="7" t="s">
        <v>22</v>
      </c>
      <c r="D160" s="7" t="s">
        <v>79</v>
      </c>
      <c r="E160" s="7" t="s">
        <v>14</v>
      </c>
      <c r="F160" s="9">
        <v>163.11000000000001</v>
      </c>
      <c r="G160" s="9">
        <v>71.03</v>
      </c>
      <c r="H160" s="7">
        <v>1</v>
      </c>
      <c r="I160" s="10">
        <f t="shared" si="4"/>
        <v>0.43547299368524306</v>
      </c>
      <c r="J160" s="7" t="str">
        <f t="shared" si="5"/>
        <v>Low</v>
      </c>
    </row>
    <row r="161" spans="1:10" x14ac:dyDescent="0.3">
      <c r="A161" s="7" t="s">
        <v>262</v>
      </c>
      <c r="B161" s="8" t="s">
        <v>263</v>
      </c>
      <c r="C161" s="7" t="s">
        <v>12</v>
      </c>
      <c r="D161" s="7" t="s">
        <v>13</v>
      </c>
      <c r="E161" s="7" t="s">
        <v>14</v>
      </c>
      <c r="F161" s="9">
        <v>389.84</v>
      </c>
      <c r="G161" s="9">
        <v>119.39</v>
      </c>
      <c r="H161" s="7">
        <v>1</v>
      </c>
      <c r="I161" s="10">
        <f t="shared" si="4"/>
        <v>0.30625384773240305</v>
      </c>
      <c r="J161" s="7" t="str">
        <f t="shared" si="5"/>
        <v>Low</v>
      </c>
    </row>
    <row r="162" spans="1:10" x14ac:dyDescent="0.3">
      <c r="A162" s="7" t="s">
        <v>264</v>
      </c>
      <c r="B162" s="8" t="s">
        <v>263</v>
      </c>
      <c r="C162" s="7" t="s">
        <v>22</v>
      </c>
      <c r="D162" s="7" t="s">
        <v>17</v>
      </c>
      <c r="E162" s="7" t="s">
        <v>18</v>
      </c>
      <c r="F162" s="9">
        <v>1155.96</v>
      </c>
      <c r="G162" s="9">
        <v>327.96</v>
      </c>
      <c r="H162" s="7">
        <v>3</v>
      </c>
      <c r="I162" s="10">
        <f t="shared" si="4"/>
        <v>0.28371223917782618</v>
      </c>
      <c r="J162" s="7" t="str">
        <f t="shared" si="5"/>
        <v>Low</v>
      </c>
    </row>
    <row r="163" spans="1:10" x14ac:dyDescent="0.3">
      <c r="A163" s="7" t="s">
        <v>265</v>
      </c>
      <c r="B163" s="8" t="s">
        <v>263</v>
      </c>
      <c r="C163" s="7" t="s">
        <v>12</v>
      </c>
      <c r="D163" s="7" t="s">
        <v>13</v>
      </c>
      <c r="E163" s="7" t="s">
        <v>14</v>
      </c>
      <c r="F163" s="9">
        <v>1782.9</v>
      </c>
      <c r="G163" s="9">
        <v>352.9</v>
      </c>
      <c r="H163" s="7">
        <v>5</v>
      </c>
      <c r="I163" s="10">
        <f t="shared" si="4"/>
        <v>0.19793594705255479</v>
      </c>
      <c r="J163" s="7" t="str">
        <f t="shared" si="5"/>
        <v>Medium</v>
      </c>
    </row>
    <row r="164" spans="1:10" x14ac:dyDescent="0.3">
      <c r="A164" s="7" t="s">
        <v>266</v>
      </c>
      <c r="B164" s="8" t="s">
        <v>267</v>
      </c>
      <c r="C164" s="7" t="s">
        <v>12</v>
      </c>
      <c r="D164" s="7" t="s">
        <v>43</v>
      </c>
      <c r="E164" s="7" t="s">
        <v>24</v>
      </c>
      <c r="F164" s="9">
        <v>396.8</v>
      </c>
      <c r="G164" s="9">
        <v>96.84</v>
      </c>
      <c r="H164" s="7">
        <v>4</v>
      </c>
      <c r="I164" s="10">
        <f t="shared" si="4"/>
        <v>0.24405241935483871</v>
      </c>
      <c r="J164" s="7" t="str">
        <f t="shared" si="5"/>
        <v>Low</v>
      </c>
    </row>
    <row r="165" spans="1:10" x14ac:dyDescent="0.3">
      <c r="A165" s="7" t="s">
        <v>268</v>
      </c>
      <c r="B165" s="8" t="s">
        <v>267</v>
      </c>
      <c r="C165" s="7" t="s">
        <v>12</v>
      </c>
      <c r="D165" s="7" t="s">
        <v>23</v>
      </c>
      <c r="E165" s="7" t="s">
        <v>24</v>
      </c>
      <c r="F165" s="9">
        <v>311.58</v>
      </c>
      <c r="G165" s="9">
        <v>85.91</v>
      </c>
      <c r="H165" s="7">
        <v>3</v>
      </c>
      <c r="I165" s="10">
        <f t="shared" si="4"/>
        <v>0.2757237306630721</v>
      </c>
      <c r="J165" s="7" t="str">
        <f t="shared" si="5"/>
        <v>Low</v>
      </c>
    </row>
    <row r="166" spans="1:10" x14ac:dyDescent="0.3">
      <c r="A166" s="7" t="s">
        <v>269</v>
      </c>
      <c r="B166" s="8" t="s">
        <v>267</v>
      </c>
      <c r="C166" s="7" t="s">
        <v>32</v>
      </c>
      <c r="D166" s="7" t="s">
        <v>23</v>
      </c>
      <c r="E166" s="7" t="s">
        <v>24</v>
      </c>
      <c r="F166" s="9">
        <v>301.08</v>
      </c>
      <c r="G166" s="9">
        <v>79.78</v>
      </c>
      <c r="H166" s="7">
        <v>3</v>
      </c>
      <c r="I166" s="10">
        <f t="shared" si="4"/>
        <v>0.2649794074664541</v>
      </c>
      <c r="J166" s="7" t="str">
        <f t="shared" si="5"/>
        <v>Low</v>
      </c>
    </row>
    <row r="167" spans="1:10" x14ac:dyDescent="0.3">
      <c r="A167" s="7" t="s">
        <v>270</v>
      </c>
      <c r="B167" s="8" t="s">
        <v>267</v>
      </c>
      <c r="C167" s="7" t="s">
        <v>20</v>
      </c>
      <c r="D167" s="7" t="s">
        <v>85</v>
      </c>
      <c r="E167" s="7" t="s">
        <v>24</v>
      </c>
      <c r="F167" s="9">
        <v>2187.42</v>
      </c>
      <c r="G167" s="9">
        <v>955.25</v>
      </c>
      <c r="H167" s="7">
        <v>6</v>
      </c>
      <c r="I167" s="10">
        <f t="shared" si="4"/>
        <v>0.43670168509019758</v>
      </c>
      <c r="J167" s="7" t="str">
        <f t="shared" si="5"/>
        <v>Medium</v>
      </c>
    </row>
    <row r="168" spans="1:10" x14ac:dyDescent="0.3">
      <c r="A168" s="7" t="s">
        <v>271</v>
      </c>
      <c r="B168" s="8" t="s">
        <v>267</v>
      </c>
      <c r="C168" s="7" t="s">
        <v>20</v>
      </c>
      <c r="D168" s="7" t="s">
        <v>23</v>
      </c>
      <c r="E168" s="7" t="s">
        <v>24</v>
      </c>
      <c r="F168" s="9">
        <v>403.72</v>
      </c>
      <c r="G168" s="9">
        <v>111.42</v>
      </c>
      <c r="H168" s="7">
        <v>4</v>
      </c>
      <c r="I168" s="10">
        <f t="shared" si="4"/>
        <v>0.27598335480035668</v>
      </c>
      <c r="J168" s="7" t="str">
        <f t="shared" si="5"/>
        <v>Low</v>
      </c>
    </row>
    <row r="169" spans="1:10" x14ac:dyDescent="0.3">
      <c r="A169" s="7" t="s">
        <v>272</v>
      </c>
      <c r="B169" s="8" t="s">
        <v>273</v>
      </c>
      <c r="C169" s="7" t="s">
        <v>20</v>
      </c>
      <c r="D169" s="7" t="s">
        <v>74</v>
      </c>
      <c r="E169" s="7" t="s">
        <v>18</v>
      </c>
      <c r="F169" s="9">
        <v>1434.66</v>
      </c>
      <c r="G169" s="9">
        <v>146.34</v>
      </c>
      <c r="H169" s="7">
        <v>6</v>
      </c>
      <c r="I169" s="10">
        <f t="shared" si="4"/>
        <v>0.10200326209694283</v>
      </c>
      <c r="J169" s="7" t="str">
        <f t="shared" si="5"/>
        <v>Low</v>
      </c>
    </row>
    <row r="170" spans="1:10" x14ac:dyDescent="0.3">
      <c r="A170" s="7" t="s">
        <v>274</v>
      </c>
      <c r="B170" s="8" t="s">
        <v>273</v>
      </c>
      <c r="C170" s="7" t="s">
        <v>12</v>
      </c>
      <c r="D170" s="7" t="s">
        <v>74</v>
      </c>
      <c r="E170" s="7" t="s">
        <v>18</v>
      </c>
      <c r="F170" s="9">
        <v>1514.1</v>
      </c>
      <c r="G170" s="9">
        <v>307.27</v>
      </c>
      <c r="H170" s="7">
        <v>6</v>
      </c>
      <c r="I170" s="10">
        <f t="shared" si="4"/>
        <v>0.20293903969354732</v>
      </c>
      <c r="J170" s="7" t="str">
        <f t="shared" si="5"/>
        <v>Medium</v>
      </c>
    </row>
    <row r="171" spans="1:10" x14ac:dyDescent="0.3">
      <c r="A171" s="7" t="s">
        <v>275</v>
      </c>
      <c r="B171" s="8" t="s">
        <v>276</v>
      </c>
      <c r="C171" s="7" t="s">
        <v>32</v>
      </c>
      <c r="D171" s="7" t="s">
        <v>79</v>
      </c>
      <c r="E171" s="7" t="s">
        <v>14</v>
      </c>
      <c r="F171" s="9">
        <v>164.37</v>
      </c>
      <c r="G171" s="9">
        <v>66.55</v>
      </c>
      <c r="H171" s="7">
        <v>1</v>
      </c>
      <c r="I171" s="10">
        <f t="shared" si="4"/>
        <v>0.40487923587029262</v>
      </c>
      <c r="J171" s="7" t="str">
        <f t="shared" si="5"/>
        <v>Low</v>
      </c>
    </row>
    <row r="172" spans="1:10" x14ac:dyDescent="0.3">
      <c r="A172" s="7" t="s">
        <v>277</v>
      </c>
      <c r="B172" s="8" t="s">
        <v>276</v>
      </c>
      <c r="C172" s="7" t="s">
        <v>12</v>
      </c>
      <c r="D172" s="7" t="s">
        <v>79</v>
      </c>
      <c r="E172" s="7" t="s">
        <v>14</v>
      </c>
      <c r="F172" s="9">
        <v>1491.8</v>
      </c>
      <c r="G172" s="9">
        <v>510.36</v>
      </c>
      <c r="H172" s="7">
        <v>10</v>
      </c>
      <c r="I172" s="10">
        <f t="shared" si="4"/>
        <v>0.3421102024400054</v>
      </c>
      <c r="J172" s="7" t="str">
        <f t="shared" si="5"/>
        <v>Low</v>
      </c>
    </row>
    <row r="173" spans="1:10" x14ac:dyDescent="0.3">
      <c r="A173" s="7" t="s">
        <v>278</v>
      </c>
      <c r="B173" s="8" t="s">
        <v>279</v>
      </c>
      <c r="C173" s="7" t="s">
        <v>20</v>
      </c>
      <c r="D173" s="7" t="s">
        <v>23</v>
      </c>
      <c r="E173" s="7" t="s">
        <v>24</v>
      </c>
      <c r="F173" s="9">
        <v>838.48</v>
      </c>
      <c r="G173" s="9">
        <v>253.27</v>
      </c>
      <c r="H173" s="7">
        <v>8</v>
      </c>
      <c r="I173" s="10">
        <f t="shared" si="4"/>
        <v>0.30205848678561209</v>
      </c>
      <c r="J173" s="7" t="str">
        <f t="shared" si="5"/>
        <v>Low</v>
      </c>
    </row>
    <row r="174" spans="1:10" x14ac:dyDescent="0.3">
      <c r="A174" s="7" t="s">
        <v>280</v>
      </c>
      <c r="B174" s="8" t="s">
        <v>279</v>
      </c>
      <c r="C174" s="7" t="s">
        <v>20</v>
      </c>
      <c r="D174" s="7" t="s">
        <v>50</v>
      </c>
      <c r="E174" s="7" t="s">
        <v>14</v>
      </c>
      <c r="F174" s="9">
        <v>99.44</v>
      </c>
      <c r="G174" s="9">
        <v>40.090000000000003</v>
      </c>
      <c r="H174" s="7">
        <v>2</v>
      </c>
      <c r="I174" s="10">
        <f t="shared" si="4"/>
        <v>0.40315768302493971</v>
      </c>
      <c r="J174" s="7" t="str">
        <f t="shared" si="5"/>
        <v>Low</v>
      </c>
    </row>
    <row r="175" spans="1:10" x14ac:dyDescent="0.3">
      <c r="A175" s="7" t="s">
        <v>281</v>
      </c>
      <c r="B175" s="8" t="s">
        <v>279</v>
      </c>
      <c r="C175" s="7" t="s">
        <v>32</v>
      </c>
      <c r="D175" s="7" t="s">
        <v>60</v>
      </c>
      <c r="E175" s="7" t="s">
        <v>28</v>
      </c>
      <c r="F175" s="9">
        <v>378.75</v>
      </c>
      <c r="G175" s="9">
        <v>147.76</v>
      </c>
      <c r="H175" s="7">
        <v>1</v>
      </c>
      <c r="I175" s="10">
        <f t="shared" si="4"/>
        <v>0.3901254125412541</v>
      </c>
      <c r="J175" s="7" t="str">
        <f t="shared" si="5"/>
        <v>Low</v>
      </c>
    </row>
    <row r="176" spans="1:10" x14ac:dyDescent="0.3">
      <c r="A176" s="7" t="s">
        <v>282</v>
      </c>
      <c r="B176" s="8" t="s">
        <v>279</v>
      </c>
      <c r="C176" s="7" t="s">
        <v>22</v>
      </c>
      <c r="D176" s="7" t="s">
        <v>89</v>
      </c>
      <c r="E176" s="7" t="s">
        <v>24</v>
      </c>
      <c r="F176" s="9">
        <v>564.62</v>
      </c>
      <c r="G176" s="9">
        <v>143.02000000000001</v>
      </c>
      <c r="H176" s="7">
        <v>2</v>
      </c>
      <c r="I176" s="10">
        <f t="shared" si="4"/>
        <v>0.25330310651411569</v>
      </c>
      <c r="J176" s="7" t="str">
        <f t="shared" si="5"/>
        <v>Low</v>
      </c>
    </row>
    <row r="177" spans="1:10" x14ac:dyDescent="0.3">
      <c r="A177" s="7" t="s">
        <v>283</v>
      </c>
      <c r="B177" s="8" t="s">
        <v>279</v>
      </c>
      <c r="C177" s="7" t="s">
        <v>12</v>
      </c>
      <c r="D177" s="7" t="s">
        <v>23</v>
      </c>
      <c r="E177" s="7" t="s">
        <v>24</v>
      </c>
      <c r="F177" s="9">
        <v>211.2</v>
      </c>
      <c r="G177" s="9">
        <v>66.739999999999995</v>
      </c>
      <c r="H177" s="7">
        <v>2</v>
      </c>
      <c r="I177" s="10">
        <f t="shared" si="4"/>
        <v>0.31600378787878786</v>
      </c>
      <c r="J177" s="7" t="str">
        <f t="shared" si="5"/>
        <v>Low</v>
      </c>
    </row>
    <row r="178" spans="1:10" x14ac:dyDescent="0.3">
      <c r="A178" s="7" t="s">
        <v>284</v>
      </c>
      <c r="B178" s="8" t="s">
        <v>285</v>
      </c>
      <c r="C178" s="7" t="s">
        <v>32</v>
      </c>
      <c r="D178" s="7" t="s">
        <v>70</v>
      </c>
      <c r="E178" s="7" t="s">
        <v>14</v>
      </c>
      <c r="F178" s="9">
        <v>687.78</v>
      </c>
      <c r="G178" s="9">
        <v>152.77000000000001</v>
      </c>
      <c r="H178" s="7">
        <v>2</v>
      </c>
      <c r="I178" s="10">
        <f t="shared" si="4"/>
        <v>0.22212044549129084</v>
      </c>
      <c r="J178" s="7" t="str">
        <f t="shared" si="5"/>
        <v>Low</v>
      </c>
    </row>
    <row r="179" spans="1:10" x14ac:dyDescent="0.3">
      <c r="A179" s="7" t="s">
        <v>286</v>
      </c>
      <c r="B179" s="8" t="s">
        <v>285</v>
      </c>
      <c r="C179" s="7" t="s">
        <v>32</v>
      </c>
      <c r="D179" s="7" t="s">
        <v>63</v>
      </c>
      <c r="E179" s="7" t="s">
        <v>28</v>
      </c>
      <c r="F179" s="9">
        <v>358.36</v>
      </c>
      <c r="G179" s="9">
        <v>142.65</v>
      </c>
      <c r="H179" s="7">
        <v>2</v>
      </c>
      <c r="I179" s="10">
        <f t="shared" si="4"/>
        <v>0.39806339993302825</v>
      </c>
      <c r="J179" s="7" t="str">
        <f t="shared" si="5"/>
        <v>Low</v>
      </c>
    </row>
    <row r="180" spans="1:10" x14ac:dyDescent="0.3">
      <c r="A180" s="7" t="s">
        <v>287</v>
      </c>
      <c r="B180" s="8" t="s">
        <v>285</v>
      </c>
      <c r="C180" s="7" t="s">
        <v>20</v>
      </c>
      <c r="D180" s="7" t="s">
        <v>70</v>
      </c>
      <c r="E180" s="7" t="s">
        <v>14</v>
      </c>
      <c r="F180" s="9">
        <v>360.58</v>
      </c>
      <c r="G180" s="9">
        <v>93.21</v>
      </c>
      <c r="H180" s="7">
        <v>1</v>
      </c>
      <c r="I180" s="10">
        <f t="shared" si="4"/>
        <v>0.25850019413167674</v>
      </c>
      <c r="J180" s="7" t="str">
        <f t="shared" si="5"/>
        <v>Low</v>
      </c>
    </row>
    <row r="181" spans="1:10" x14ac:dyDescent="0.3">
      <c r="A181" s="7" t="s">
        <v>288</v>
      </c>
      <c r="B181" s="8" t="s">
        <v>289</v>
      </c>
      <c r="C181" s="7" t="s">
        <v>32</v>
      </c>
      <c r="D181" s="7" t="s">
        <v>74</v>
      </c>
      <c r="E181" s="7" t="s">
        <v>18</v>
      </c>
      <c r="F181" s="9">
        <v>916.64</v>
      </c>
      <c r="G181" s="9">
        <v>123.36</v>
      </c>
      <c r="H181" s="7">
        <v>4</v>
      </c>
      <c r="I181" s="10">
        <f t="shared" si="4"/>
        <v>0.13457846046430441</v>
      </c>
      <c r="J181" s="7" t="str">
        <f t="shared" si="5"/>
        <v>Low</v>
      </c>
    </row>
    <row r="182" spans="1:10" x14ac:dyDescent="0.3">
      <c r="A182" s="7" t="s">
        <v>290</v>
      </c>
      <c r="B182" s="8" t="s">
        <v>291</v>
      </c>
      <c r="C182" s="7" t="s">
        <v>22</v>
      </c>
      <c r="D182" s="7" t="s">
        <v>85</v>
      </c>
      <c r="E182" s="7" t="s">
        <v>24</v>
      </c>
      <c r="F182" s="9">
        <v>2147.1</v>
      </c>
      <c r="G182" s="9">
        <v>914.16</v>
      </c>
      <c r="H182" s="7">
        <v>6</v>
      </c>
      <c r="I182" s="10">
        <f t="shared" si="4"/>
        <v>0.4257649853290485</v>
      </c>
      <c r="J182" s="7" t="str">
        <f t="shared" si="5"/>
        <v>Medium</v>
      </c>
    </row>
    <row r="183" spans="1:10" x14ac:dyDescent="0.3">
      <c r="A183" s="7" t="s">
        <v>292</v>
      </c>
      <c r="B183" s="8" t="s">
        <v>291</v>
      </c>
      <c r="C183" s="7" t="s">
        <v>20</v>
      </c>
      <c r="D183" s="7" t="s">
        <v>63</v>
      </c>
      <c r="E183" s="7" t="s">
        <v>28</v>
      </c>
      <c r="F183" s="9">
        <v>198.69</v>
      </c>
      <c r="G183" s="9">
        <v>92.54</v>
      </c>
      <c r="H183" s="7">
        <v>1</v>
      </c>
      <c r="I183" s="10">
        <f t="shared" si="4"/>
        <v>0.46575066686798533</v>
      </c>
      <c r="J183" s="7" t="str">
        <f t="shared" si="5"/>
        <v>Low</v>
      </c>
    </row>
    <row r="184" spans="1:10" x14ac:dyDescent="0.3">
      <c r="A184" s="7" t="s">
        <v>293</v>
      </c>
      <c r="B184" s="8" t="s">
        <v>291</v>
      </c>
      <c r="C184" s="7" t="s">
        <v>12</v>
      </c>
      <c r="D184" s="7" t="s">
        <v>50</v>
      </c>
      <c r="E184" s="7" t="s">
        <v>14</v>
      </c>
      <c r="F184" s="9">
        <v>46.65</v>
      </c>
      <c r="G184" s="9">
        <v>17.100000000000001</v>
      </c>
      <c r="H184" s="7">
        <v>1</v>
      </c>
      <c r="I184" s="10">
        <f t="shared" si="4"/>
        <v>0.36655948553054668</v>
      </c>
      <c r="J184" s="7" t="str">
        <f t="shared" si="5"/>
        <v>Low</v>
      </c>
    </row>
    <row r="185" spans="1:10" x14ac:dyDescent="0.3">
      <c r="A185" s="7" t="s">
        <v>294</v>
      </c>
      <c r="B185" s="8" t="s">
        <v>291</v>
      </c>
      <c r="C185" s="7" t="s">
        <v>32</v>
      </c>
      <c r="D185" s="7" t="s">
        <v>13</v>
      </c>
      <c r="E185" s="7" t="s">
        <v>14</v>
      </c>
      <c r="F185" s="9">
        <v>1986.6</v>
      </c>
      <c r="G185" s="9">
        <v>559.39</v>
      </c>
      <c r="H185" s="7">
        <v>5</v>
      </c>
      <c r="I185" s="10">
        <f t="shared" si="4"/>
        <v>0.28158159669787575</v>
      </c>
      <c r="J185" s="7" t="str">
        <f t="shared" si="5"/>
        <v>Medium</v>
      </c>
    </row>
    <row r="186" spans="1:10" x14ac:dyDescent="0.3">
      <c r="A186" s="7" t="s">
        <v>295</v>
      </c>
      <c r="B186" s="8" t="s">
        <v>296</v>
      </c>
      <c r="C186" s="7" t="s">
        <v>20</v>
      </c>
      <c r="D186" s="7" t="s">
        <v>85</v>
      </c>
      <c r="E186" s="7" t="s">
        <v>24</v>
      </c>
      <c r="F186" s="9">
        <v>383.32</v>
      </c>
      <c r="G186" s="9">
        <v>187.19</v>
      </c>
      <c r="H186" s="7">
        <v>1</v>
      </c>
      <c r="I186" s="10">
        <f t="shared" si="4"/>
        <v>0.48833872482521129</v>
      </c>
      <c r="J186" s="7" t="str">
        <f t="shared" si="5"/>
        <v>Low</v>
      </c>
    </row>
    <row r="187" spans="1:10" x14ac:dyDescent="0.3">
      <c r="A187" s="7" t="s">
        <v>297</v>
      </c>
      <c r="B187" s="8" t="s">
        <v>296</v>
      </c>
      <c r="C187" s="7" t="s">
        <v>20</v>
      </c>
      <c r="D187" s="7" t="s">
        <v>60</v>
      </c>
      <c r="E187" s="7" t="s">
        <v>28</v>
      </c>
      <c r="F187" s="9">
        <v>2025.75</v>
      </c>
      <c r="G187" s="9">
        <v>907.51</v>
      </c>
      <c r="H187" s="7">
        <v>5</v>
      </c>
      <c r="I187" s="10">
        <f t="shared" si="4"/>
        <v>0.4479871652474392</v>
      </c>
      <c r="J187" s="7" t="str">
        <f t="shared" si="5"/>
        <v>Medium</v>
      </c>
    </row>
    <row r="188" spans="1:10" x14ac:dyDescent="0.3">
      <c r="A188" s="7" t="s">
        <v>298</v>
      </c>
      <c r="B188" s="8" t="s">
        <v>299</v>
      </c>
      <c r="C188" s="7" t="s">
        <v>32</v>
      </c>
      <c r="D188" s="7" t="s">
        <v>74</v>
      </c>
      <c r="E188" s="7" t="s">
        <v>18</v>
      </c>
      <c r="F188" s="9">
        <v>484.94</v>
      </c>
      <c r="G188" s="9">
        <v>57.24</v>
      </c>
      <c r="H188" s="7">
        <v>2</v>
      </c>
      <c r="I188" s="10">
        <f t="shared" si="4"/>
        <v>0.11803522085206418</v>
      </c>
      <c r="J188" s="7" t="str">
        <f t="shared" si="5"/>
        <v>Low</v>
      </c>
    </row>
    <row r="189" spans="1:10" x14ac:dyDescent="0.3">
      <c r="A189" s="7" t="s">
        <v>300</v>
      </c>
      <c r="B189" s="8" t="s">
        <v>299</v>
      </c>
      <c r="C189" s="7" t="s">
        <v>22</v>
      </c>
      <c r="D189" s="7" t="s">
        <v>89</v>
      </c>
      <c r="E189" s="7" t="s">
        <v>24</v>
      </c>
      <c r="F189" s="9">
        <v>601.17999999999995</v>
      </c>
      <c r="G189" s="9">
        <v>168.24</v>
      </c>
      <c r="H189" s="7">
        <v>2</v>
      </c>
      <c r="I189" s="10">
        <f t="shared" si="4"/>
        <v>0.27984962906284311</v>
      </c>
      <c r="J189" s="7" t="str">
        <f t="shared" si="5"/>
        <v>Low</v>
      </c>
    </row>
    <row r="190" spans="1:10" x14ac:dyDescent="0.3">
      <c r="A190" s="7" t="s">
        <v>301</v>
      </c>
      <c r="B190" s="8" t="s">
        <v>302</v>
      </c>
      <c r="C190" s="7" t="s">
        <v>20</v>
      </c>
      <c r="D190" s="7" t="s">
        <v>54</v>
      </c>
      <c r="E190" s="7" t="s">
        <v>28</v>
      </c>
      <c r="F190" s="9">
        <v>134.44999999999999</v>
      </c>
      <c r="G190" s="9">
        <v>51.64</v>
      </c>
      <c r="H190" s="7">
        <v>1</v>
      </c>
      <c r="I190" s="10">
        <f t="shared" si="4"/>
        <v>0.38408330234287841</v>
      </c>
      <c r="J190" s="7" t="str">
        <f t="shared" si="5"/>
        <v>Low</v>
      </c>
    </row>
    <row r="191" spans="1:10" x14ac:dyDescent="0.3">
      <c r="A191" s="7" t="s">
        <v>303</v>
      </c>
      <c r="B191" s="8" t="s">
        <v>302</v>
      </c>
      <c r="C191" s="7" t="s">
        <v>20</v>
      </c>
      <c r="D191" s="7" t="s">
        <v>89</v>
      </c>
      <c r="E191" s="7" t="s">
        <v>24</v>
      </c>
      <c r="F191" s="9">
        <v>283.89999999999998</v>
      </c>
      <c r="G191" s="9">
        <v>72.400000000000006</v>
      </c>
      <c r="H191" s="7">
        <v>1</v>
      </c>
      <c r="I191" s="10">
        <f t="shared" si="4"/>
        <v>0.25501937301866856</v>
      </c>
      <c r="J191" s="7" t="str">
        <f t="shared" si="5"/>
        <v>Low</v>
      </c>
    </row>
    <row r="192" spans="1:10" x14ac:dyDescent="0.3">
      <c r="A192" s="7" t="s">
        <v>304</v>
      </c>
      <c r="B192" s="8" t="s">
        <v>302</v>
      </c>
      <c r="C192" s="7" t="s">
        <v>12</v>
      </c>
      <c r="D192" s="7" t="s">
        <v>89</v>
      </c>
      <c r="E192" s="7" t="s">
        <v>24</v>
      </c>
      <c r="F192" s="9">
        <v>577.41999999999996</v>
      </c>
      <c r="G192" s="9">
        <v>176.83</v>
      </c>
      <c r="H192" s="7">
        <v>2</v>
      </c>
      <c r="I192" s="10">
        <f t="shared" si="4"/>
        <v>0.30624155727200308</v>
      </c>
      <c r="J192" s="7" t="str">
        <f t="shared" si="5"/>
        <v>Low</v>
      </c>
    </row>
    <row r="193" spans="1:10" x14ac:dyDescent="0.3">
      <c r="A193" s="7" t="s">
        <v>305</v>
      </c>
      <c r="B193" s="8" t="s">
        <v>302</v>
      </c>
      <c r="C193" s="7" t="s">
        <v>20</v>
      </c>
      <c r="D193" s="7" t="s">
        <v>13</v>
      </c>
      <c r="E193" s="7" t="s">
        <v>14</v>
      </c>
      <c r="F193" s="9">
        <v>2202.06</v>
      </c>
      <c r="G193" s="9">
        <v>539.14</v>
      </c>
      <c r="H193" s="7">
        <v>6</v>
      </c>
      <c r="I193" s="10">
        <f t="shared" si="4"/>
        <v>0.24483438235107127</v>
      </c>
      <c r="J193" s="7" t="str">
        <f t="shared" si="5"/>
        <v>Medium</v>
      </c>
    </row>
    <row r="194" spans="1:10" x14ac:dyDescent="0.3">
      <c r="A194" s="7" t="s">
        <v>306</v>
      </c>
      <c r="B194" s="8" t="s">
        <v>302</v>
      </c>
      <c r="C194" s="7" t="s">
        <v>12</v>
      </c>
      <c r="D194" s="7" t="s">
        <v>54</v>
      </c>
      <c r="E194" s="7" t="s">
        <v>28</v>
      </c>
      <c r="F194" s="9">
        <v>261.02</v>
      </c>
      <c r="G194" s="9">
        <v>95.2</v>
      </c>
      <c r="H194" s="7">
        <v>2</v>
      </c>
      <c r="I194" s="10">
        <f t="shared" ref="I194:I257" si="6">IFERROR(G194/F194,0)</f>
        <v>0.36472300973105515</v>
      </c>
      <c r="J194" s="7" t="str">
        <f t="shared" ref="J194:J257" si="7">IF(F194&gt;5000,"High",IF(F194&gt;1500,"Medium","Low"))</f>
        <v>Low</v>
      </c>
    </row>
    <row r="195" spans="1:10" x14ac:dyDescent="0.3">
      <c r="A195" s="7" t="s">
        <v>307</v>
      </c>
      <c r="B195" s="8" t="s">
        <v>308</v>
      </c>
      <c r="C195" s="7" t="s">
        <v>12</v>
      </c>
      <c r="D195" s="7" t="s">
        <v>60</v>
      </c>
      <c r="E195" s="7" t="s">
        <v>28</v>
      </c>
      <c r="F195" s="9">
        <v>1170.72</v>
      </c>
      <c r="G195" s="9">
        <v>443.17</v>
      </c>
      <c r="H195" s="7">
        <v>3</v>
      </c>
      <c r="I195" s="10">
        <f t="shared" si="6"/>
        <v>0.37854482711493781</v>
      </c>
      <c r="J195" s="7" t="str">
        <f t="shared" si="7"/>
        <v>Low</v>
      </c>
    </row>
    <row r="196" spans="1:10" x14ac:dyDescent="0.3">
      <c r="A196" s="7" t="s">
        <v>309</v>
      </c>
      <c r="B196" s="8" t="s">
        <v>308</v>
      </c>
      <c r="C196" s="7" t="s">
        <v>32</v>
      </c>
      <c r="D196" s="7" t="s">
        <v>41</v>
      </c>
      <c r="E196" s="7" t="s">
        <v>28</v>
      </c>
      <c r="F196" s="9">
        <v>567.20000000000005</v>
      </c>
      <c r="G196" s="9">
        <v>242.37</v>
      </c>
      <c r="H196" s="7">
        <v>2</v>
      </c>
      <c r="I196" s="10">
        <f t="shared" si="6"/>
        <v>0.42730959097320165</v>
      </c>
      <c r="J196" s="7" t="str">
        <f t="shared" si="7"/>
        <v>Low</v>
      </c>
    </row>
    <row r="197" spans="1:10" x14ac:dyDescent="0.3">
      <c r="A197" s="7" t="s">
        <v>310</v>
      </c>
      <c r="B197" s="8" t="s">
        <v>308</v>
      </c>
      <c r="C197" s="7" t="s">
        <v>12</v>
      </c>
      <c r="D197" s="7" t="s">
        <v>50</v>
      </c>
      <c r="E197" s="7" t="s">
        <v>14</v>
      </c>
      <c r="F197" s="9">
        <v>92.28</v>
      </c>
      <c r="G197" s="9">
        <v>36.82</v>
      </c>
      <c r="H197" s="7">
        <v>2</v>
      </c>
      <c r="I197" s="10">
        <f t="shared" si="6"/>
        <v>0.39900303424360639</v>
      </c>
      <c r="J197" s="7" t="str">
        <f t="shared" si="7"/>
        <v>Low</v>
      </c>
    </row>
    <row r="198" spans="1:10" x14ac:dyDescent="0.3">
      <c r="A198" s="7" t="s">
        <v>311</v>
      </c>
      <c r="B198" s="8" t="s">
        <v>308</v>
      </c>
      <c r="C198" s="7" t="s">
        <v>12</v>
      </c>
      <c r="D198" s="7" t="s">
        <v>23</v>
      </c>
      <c r="E198" s="7" t="s">
        <v>24</v>
      </c>
      <c r="F198" s="9">
        <v>203.06</v>
      </c>
      <c r="G198" s="9">
        <v>55.32</v>
      </c>
      <c r="H198" s="7">
        <v>2</v>
      </c>
      <c r="I198" s="10">
        <f t="shared" si="6"/>
        <v>0.27243179355855413</v>
      </c>
      <c r="J198" s="7" t="str">
        <f t="shared" si="7"/>
        <v>Low</v>
      </c>
    </row>
    <row r="199" spans="1:10" x14ac:dyDescent="0.3">
      <c r="A199" s="7" t="s">
        <v>312</v>
      </c>
      <c r="B199" s="8" t="s">
        <v>313</v>
      </c>
      <c r="C199" s="7" t="s">
        <v>20</v>
      </c>
      <c r="D199" s="7" t="s">
        <v>38</v>
      </c>
      <c r="E199" s="7" t="s">
        <v>18</v>
      </c>
      <c r="F199" s="9">
        <v>726.76</v>
      </c>
      <c r="G199" s="9">
        <v>176.21</v>
      </c>
      <c r="H199" s="7">
        <v>2</v>
      </c>
      <c r="I199" s="10">
        <f t="shared" si="6"/>
        <v>0.2424596840772745</v>
      </c>
      <c r="J199" s="7" t="str">
        <f t="shared" si="7"/>
        <v>Low</v>
      </c>
    </row>
    <row r="200" spans="1:10" x14ac:dyDescent="0.3">
      <c r="A200" s="7" t="s">
        <v>314</v>
      </c>
      <c r="B200" s="8" t="s">
        <v>313</v>
      </c>
      <c r="C200" s="7" t="s">
        <v>12</v>
      </c>
      <c r="D200" s="7" t="s">
        <v>50</v>
      </c>
      <c r="E200" s="7" t="s">
        <v>14</v>
      </c>
      <c r="F200" s="9">
        <v>46.98</v>
      </c>
      <c r="G200" s="9">
        <v>17.809999999999999</v>
      </c>
      <c r="H200" s="7">
        <v>1</v>
      </c>
      <c r="I200" s="10">
        <f t="shared" si="6"/>
        <v>0.37909748829289058</v>
      </c>
      <c r="J200" s="7" t="str">
        <f t="shared" si="7"/>
        <v>Low</v>
      </c>
    </row>
    <row r="201" spans="1:10" x14ac:dyDescent="0.3">
      <c r="A201" s="7" t="s">
        <v>315</v>
      </c>
      <c r="B201" s="8" t="s">
        <v>313</v>
      </c>
      <c r="C201" s="7" t="s">
        <v>12</v>
      </c>
      <c r="D201" s="7" t="s">
        <v>79</v>
      </c>
      <c r="E201" s="7" t="s">
        <v>14</v>
      </c>
      <c r="F201" s="9">
        <v>487.62</v>
      </c>
      <c r="G201" s="9">
        <v>199.55</v>
      </c>
      <c r="H201" s="7">
        <v>3</v>
      </c>
      <c r="I201" s="10">
        <f t="shared" si="6"/>
        <v>0.40923259915507981</v>
      </c>
      <c r="J201" s="7" t="str">
        <f t="shared" si="7"/>
        <v>Low</v>
      </c>
    </row>
    <row r="202" spans="1:10" x14ac:dyDescent="0.3">
      <c r="A202" s="7" t="s">
        <v>316</v>
      </c>
      <c r="B202" s="8" t="s">
        <v>313</v>
      </c>
      <c r="C202" s="7" t="s">
        <v>12</v>
      </c>
      <c r="D202" s="7" t="s">
        <v>38</v>
      </c>
      <c r="E202" s="7" t="s">
        <v>18</v>
      </c>
      <c r="F202" s="9">
        <v>1171.44</v>
      </c>
      <c r="G202" s="9">
        <v>327.83</v>
      </c>
      <c r="H202" s="7">
        <v>3</v>
      </c>
      <c r="I202" s="10">
        <f t="shared" si="6"/>
        <v>0.27985214778392403</v>
      </c>
      <c r="J202" s="7" t="str">
        <f t="shared" si="7"/>
        <v>Low</v>
      </c>
    </row>
    <row r="203" spans="1:10" x14ac:dyDescent="0.3">
      <c r="A203" s="7" t="s">
        <v>317</v>
      </c>
      <c r="B203" s="8" t="s">
        <v>318</v>
      </c>
      <c r="C203" s="7" t="s">
        <v>12</v>
      </c>
      <c r="D203" s="7" t="s">
        <v>70</v>
      </c>
      <c r="E203" s="7" t="s">
        <v>14</v>
      </c>
      <c r="F203" s="9">
        <v>2796.48</v>
      </c>
      <c r="G203" s="9">
        <v>469.67</v>
      </c>
      <c r="H203" s="7">
        <v>8</v>
      </c>
      <c r="I203" s="10">
        <f t="shared" si="6"/>
        <v>0.16795042338940383</v>
      </c>
      <c r="J203" s="7" t="str">
        <f t="shared" si="7"/>
        <v>Medium</v>
      </c>
    </row>
    <row r="204" spans="1:10" x14ac:dyDescent="0.3">
      <c r="A204" s="7" t="s">
        <v>319</v>
      </c>
      <c r="B204" s="8" t="s">
        <v>318</v>
      </c>
      <c r="C204" s="7" t="s">
        <v>12</v>
      </c>
      <c r="D204" s="7" t="s">
        <v>41</v>
      </c>
      <c r="E204" s="7" t="s">
        <v>28</v>
      </c>
      <c r="F204" s="9">
        <v>2308.16</v>
      </c>
      <c r="G204" s="9">
        <v>1063.48</v>
      </c>
      <c r="H204" s="7">
        <v>8</v>
      </c>
      <c r="I204" s="10">
        <f t="shared" si="6"/>
        <v>0.46074795508110361</v>
      </c>
      <c r="J204" s="7" t="str">
        <f t="shared" si="7"/>
        <v>Medium</v>
      </c>
    </row>
    <row r="205" spans="1:10" x14ac:dyDescent="0.3">
      <c r="A205" s="7" t="s">
        <v>320</v>
      </c>
      <c r="B205" s="8" t="s">
        <v>318</v>
      </c>
      <c r="C205" s="7" t="s">
        <v>32</v>
      </c>
      <c r="D205" s="7" t="s">
        <v>23</v>
      </c>
      <c r="E205" s="7" t="s">
        <v>24</v>
      </c>
      <c r="F205" s="9">
        <v>579.66</v>
      </c>
      <c r="G205" s="9">
        <v>128.74</v>
      </c>
      <c r="H205" s="7">
        <v>6</v>
      </c>
      <c r="I205" s="10">
        <f t="shared" si="6"/>
        <v>0.22209571127902566</v>
      </c>
      <c r="J205" s="7" t="str">
        <f t="shared" si="7"/>
        <v>Low</v>
      </c>
    </row>
    <row r="206" spans="1:10" x14ac:dyDescent="0.3">
      <c r="A206" s="7" t="s">
        <v>321</v>
      </c>
      <c r="B206" s="8" t="s">
        <v>318</v>
      </c>
      <c r="C206" s="7" t="s">
        <v>22</v>
      </c>
      <c r="D206" s="7" t="s">
        <v>254</v>
      </c>
      <c r="E206" s="7" t="s">
        <v>24</v>
      </c>
      <c r="F206" s="9">
        <v>60.93</v>
      </c>
      <c r="G206" s="9">
        <v>25.35</v>
      </c>
      <c r="H206" s="7">
        <v>3</v>
      </c>
      <c r="I206" s="10">
        <f t="shared" si="6"/>
        <v>0.41605120630231418</v>
      </c>
      <c r="J206" s="7" t="str">
        <f t="shared" si="7"/>
        <v>Low</v>
      </c>
    </row>
    <row r="207" spans="1:10" x14ac:dyDescent="0.3">
      <c r="A207" s="7" t="s">
        <v>322</v>
      </c>
      <c r="B207" s="8" t="s">
        <v>323</v>
      </c>
      <c r="C207" s="7" t="s">
        <v>20</v>
      </c>
      <c r="D207" s="7" t="s">
        <v>63</v>
      </c>
      <c r="E207" s="7" t="s">
        <v>28</v>
      </c>
      <c r="F207" s="9">
        <v>605.30999999999995</v>
      </c>
      <c r="G207" s="9">
        <v>274.41000000000003</v>
      </c>
      <c r="H207" s="7">
        <v>3</v>
      </c>
      <c r="I207" s="10">
        <f t="shared" si="6"/>
        <v>0.45333795906229873</v>
      </c>
      <c r="J207" s="7" t="str">
        <f t="shared" si="7"/>
        <v>Low</v>
      </c>
    </row>
    <row r="208" spans="1:10" x14ac:dyDescent="0.3">
      <c r="A208" s="7" t="s">
        <v>324</v>
      </c>
      <c r="B208" s="8" t="s">
        <v>325</v>
      </c>
      <c r="C208" s="7" t="s">
        <v>20</v>
      </c>
      <c r="D208" s="7" t="s">
        <v>85</v>
      </c>
      <c r="E208" s="7" t="s">
        <v>24</v>
      </c>
      <c r="F208" s="9">
        <v>757.36</v>
      </c>
      <c r="G208" s="9">
        <v>358.77</v>
      </c>
      <c r="H208" s="7">
        <v>2</v>
      </c>
      <c r="I208" s="10">
        <f t="shared" si="6"/>
        <v>0.47371131298193725</v>
      </c>
      <c r="J208" s="7" t="str">
        <f t="shared" si="7"/>
        <v>Low</v>
      </c>
    </row>
    <row r="209" spans="1:10" x14ac:dyDescent="0.3">
      <c r="A209" s="7" t="s">
        <v>326</v>
      </c>
      <c r="B209" s="8" t="s">
        <v>325</v>
      </c>
      <c r="C209" s="7" t="s">
        <v>20</v>
      </c>
      <c r="D209" s="7" t="s">
        <v>57</v>
      </c>
      <c r="E209" s="7" t="s">
        <v>18</v>
      </c>
      <c r="F209" s="9">
        <v>174.61</v>
      </c>
      <c r="G209" s="9">
        <v>44.17</v>
      </c>
      <c r="H209" s="7">
        <v>1</v>
      </c>
      <c r="I209" s="10">
        <f t="shared" si="6"/>
        <v>0.25296374778076858</v>
      </c>
      <c r="J209" s="7" t="str">
        <f t="shared" si="7"/>
        <v>Low</v>
      </c>
    </row>
    <row r="210" spans="1:10" x14ac:dyDescent="0.3">
      <c r="A210" s="7" t="s">
        <v>327</v>
      </c>
      <c r="B210" s="8" t="s">
        <v>325</v>
      </c>
      <c r="C210" s="7" t="s">
        <v>12</v>
      </c>
      <c r="D210" s="7" t="s">
        <v>112</v>
      </c>
      <c r="E210" s="7" t="s">
        <v>14</v>
      </c>
      <c r="F210" s="9">
        <v>1331.01</v>
      </c>
      <c r="G210" s="9">
        <v>518.28</v>
      </c>
      <c r="H210" s="7">
        <v>3</v>
      </c>
      <c r="I210" s="10">
        <f t="shared" si="6"/>
        <v>0.38938850947776499</v>
      </c>
      <c r="J210" s="7" t="str">
        <f t="shared" si="7"/>
        <v>Low</v>
      </c>
    </row>
    <row r="211" spans="1:10" x14ac:dyDescent="0.3">
      <c r="A211" s="7" t="s">
        <v>328</v>
      </c>
      <c r="B211" s="8" t="s">
        <v>329</v>
      </c>
      <c r="C211" s="7" t="s">
        <v>32</v>
      </c>
      <c r="D211" s="7" t="s">
        <v>27</v>
      </c>
      <c r="E211" s="7" t="s">
        <v>28</v>
      </c>
      <c r="F211" s="9">
        <v>994.53</v>
      </c>
      <c r="G211" s="9">
        <v>262.39</v>
      </c>
      <c r="H211" s="7">
        <v>3</v>
      </c>
      <c r="I211" s="10">
        <f t="shared" si="6"/>
        <v>0.26383316742581925</v>
      </c>
      <c r="J211" s="7" t="str">
        <f t="shared" si="7"/>
        <v>Low</v>
      </c>
    </row>
    <row r="212" spans="1:10" x14ac:dyDescent="0.3">
      <c r="A212" s="7" t="s">
        <v>330</v>
      </c>
      <c r="B212" s="8" t="s">
        <v>329</v>
      </c>
      <c r="C212" s="7" t="s">
        <v>20</v>
      </c>
      <c r="D212" s="7" t="s">
        <v>27</v>
      </c>
      <c r="E212" s="7" t="s">
        <v>28</v>
      </c>
      <c r="F212" s="9">
        <v>1024.5</v>
      </c>
      <c r="G212" s="9">
        <v>268.29000000000002</v>
      </c>
      <c r="H212" s="7">
        <v>3</v>
      </c>
      <c r="I212" s="10">
        <f t="shared" si="6"/>
        <v>0.26187408491947295</v>
      </c>
      <c r="J212" s="7" t="str">
        <f t="shared" si="7"/>
        <v>Low</v>
      </c>
    </row>
    <row r="213" spans="1:10" x14ac:dyDescent="0.3">
      <c r="A213" s="7" t="s">
        <v>331</v>
      </c>
      <c r="B213" s="8" t="s">
        <v>329</v>
      </c>
      <c r="C213" s="7" t="s">
        <v>22</v>
      </c>
      <c r="D213" s="7" t="s">
        <v>13</v>
      </c>
      <c r="E213" s="7" t="s">
        <v>14</v>
      </c>
      <c r="F213" s="9">
        <v>1120.56</v>
      </c>
      <c r="G213" s="9">
        <v>321.95</v>
      </c>
      <c r="H213" s="7">
        <v>3</v>
      </c>
      <c r="I213" s="10">
        <f t="shared" si="6"/>
        <v>0.28731170129221106</v>
      </c>
      <c r="J213" s="7" t="str">
        <f t="shared" si="7"/>
        <v>Low</v>
      </c>
    </row>
    <row r="214" spans="1:10" x14ac:dyDescent="0.3">
      <c r="A214" s="7" t="s">
        <v>332</v>
      </c>
      <c r="B214" s="8" t="s">
        <v>329</v>
      </c>
      <c r="C214" s="7" t="s">
        <v>20</v>
      </c>
      <c r="D214" s="7" t="s">
        <v>254</v>
      </c>
      <c r="E214" s="7" t="s">
        <v>24</v>
      </c>
      <c r="F214" s="9">
        <v>188.8</v>
      </c>
      <c r="G214" s="9">
        <v>63.51</v>
      </c>
      <c r="H214" s="7">
        <v>10</v>
      </c>
      <c r="I214" s="10">
        <f t="shared" si="6"/>
        <v>0.33638771186440675</v>
      </c>
      <c r="J214" s="7" t="str">
        <f t="shared" si="7"/>
        <v>Low</v>
      </c>
    </row>
    <row r="215" spans="1:10" x14ac:dyDescent="0.3">
      <c r="A215" s="7" t="s">
        <v>333</v>
      </c>
      <c r="B215" s="8" t="s">
        <v>329</v>
      </c>
      <c r="C215" s="7" t="s">
        <v>12</v>
      </c>
      <c r="D215" s="7" t="s">
        <v>17</v>
      </c>
      <c r="E215" s="7" t="s">
        <v>18</v>
      </c>
      <c r="F215" s="9">
        <v>1724.55</v>
      </c>
      <c r="G215" s="9">
        <v>351.49</v>
      </c>
      <c r="H215" s="7">
        <v>5</v>
      </c>
      <c r="I215" s="10">
        <f t="shared" si="6"/>
        <v>0.20381548809834452</v>
      </c>
      <c r="J215" s="7" t="str">
        <f t="shared" si="7"/>
        <v>Medium</v>
      </c>
    </row>
    <row r="216" spans="1:10" x14ac:dyDescent="0.3">
      <c r="A216" s="7" t="s">
        <v>334</v>
      </c>
      <c r="B216" s="8" t="s">
        <v>335</v>
      </c>
      <c r="C216" s="7" t="s">
        <v>32</v>
      </c>
      <c r="D216" s="7" t="s">
        <v>17</v>
      </c>
      <c r="E216" s="7" t="s">
        <v>18</v>
      </c>
      <c r="F216" s="9">
        <v>3684.8</v>
      </c>
      <c r="G216" s="9">
        <v>1026.23</v>
      </c>
      <c r="H216" s="7">
        <v>10</v>
      </c>
      <c r="I216" s="10">
        <f t="shared" si="6"/>
        <v>0.27850358228397742</v>
      </c>
      <c r="J216" s="7" t="str">
        <f t="shared" si="7"/>
        <v>Medium</v>
      </c>
    </row>
    <row r="217" spans="1:10" x14ac:dyDescent="0.3">
      <c r="A217" s="7" t="s">
        <v>336</v>
      </c>
      <c r="B217" s="8" t="s">
        <v>337</v>
      </c>
      <c r="C217" s="7" t="s">
        <v>12</v>
      </c>
      <c r="D217" s="7" t="s">
        <v>43</v>
      </c>
      <c r="E217" s="7" t="s">
        <v>24</v>
      </c>
      <c r="F217" s="9">
        <v>200.88</v>
      </c>
      <c r="G217" s="9">
        <v>41.38</v>
      </c>
      <c r="H217" s="7">
        <v>2</v>
      </c>
      <c r="I217" s="10">
        <f t="shared" si="6"/>
        <v>0.20599362803663882</v>
      </c>
      <c r="J217" s="7" t="str">
        <f t="shared" si="7"/>
        <v>Low</v>
      </c>
    </row>
    <row r="218" spans="1:10" x14ac:dyDescent="0.3">
      <c r="A218" s="7" t="s">
        <v>338</v>
      </c>
      <c r="B218" s="8" t="s">
        <v>337</v>
      </c>
      <c r="C218" s="7" t="s">
        <v>32</v>
      </c>
      <c r="D218" s="7" t="s">
        <v>43</v>
      </c>
      <c r="E218" s="7" t="s">
        <v>24</v>
      </c>
      <c r="F218" s="9">
        <v>330.15</v>
      </c>
      <c r="G218" s="9">
        <v>96.8</v>
      </c>
      <c r="H218" s="7">
        <v>3</v>
      </c>
      <c r="I218" s="10">
        <f t="shared" si="6"/>
        <v>0.29320006057852493</v>
      </c>
      <c r="J218" s="7" t="str">
        <f t="shared" si="7"/>
        <v>Low</v>
      </c>
    </row>
    <row r="219" spans="1:10" x14ac:dyDescent="0.3">
      <c r="A219" s="7" t="s">
        <v>339</v>
      </c>
      <c r="B219" s="8" t="s">
        <v>337</v>
      </c>
      <c r="C219" s="7" t="s">
        <v>22</v>
      </c>
      <c r="D219" s="7" t="s">
        <v>17</v>
      </c>
      <c r="E219" s="7" t="s">
        <v>18</v>
      </c>
      <c r="F219" s="9">
        <v>376.47</v>
      </c>
      <c r="G219" s="9">
        <v>95.62</v>
      </c>
      <c r="H219" s="7">
        <v>1</v>
      </c>
      <c r="I219" s="10">
        <f t="shared" si="6"/>
        <v>0.25399102186097167</v>
      </c>
      <c r="J219" s="7" t="str">
        <f t="shared" si="7"/>
        <v>Low</v>
      </c>
    </row>
    <row r="220" spans="1:10" x14ac:dyDescent="0.3">
      <c r="A220" s="7" t="s">
        <v>340</v>
      </c>
      <c r="B220" s="8" t="s">
        <v>341</v>
      </c>
      <c r="C220" s="7" t="s">
        <v>12</v>
      </c>
      <c r="D220" s="7" t="s">
        <v>112</v>
      </c>
      <c r="E220" s="7" t="s">
        <v>14</v>
      </c>
      <c r="F220" s="9">
        <v>450.36</v>
      </c>
      <c r="G220" s="9">
        <v>170.88</v>
      </c>
      <c r="H220" s="7">
        <v>1</v>
      </c>
      <c r="I220" s="10">
        <f t="shared" si="6"/>
        <v>0.37942978950173195</v>
      </c>
      <c r="J220" s="7" t="str">
        <f t="shared" si="7"/>
        <v>Low</v>
      </c>
    </row>
    <row r="221" spans="1:10" x14ac:dyDescent="0.3">
      <c r="A221" s="7" t="s">
        <v>342</v>
      </c>
      <c r="B221" s="8" t="s">
        <v>341</v>
      </c>
      <c r="C221" s="7" t="s">
        <v>22</v>
      </c>
      <c r="D221" s="7" t="s">
        <v>60</v>
      </c>
      <c r="E221" s="7" t="s">
        <v>28</v>
      </c>
      <c r="F221" s="9">
        <v>801.88</v>
      </c>
      <c r="G221" s="9">
        <v>353.75</v>
      </c>
      <c r="H221" s="7">
        <v>2</v>
      </c>
      <c r="I221" s="10">
        <f t="shared" si="6"/>
        <v>0.44115079563026888</v>
      </c>
      <c r="J221" s="7" t="str">
        <f t="shared" si="7"/>
        <v>Low</v>
      </c>
    </row>
    <row r="222" spans="1:10" x14ac:dyDescent="0.3">
      <c r="A222" s="7" t="s">
        <v>343</v>
      </c>
      <c r="B222" s="8" t="s">
        <v>341</v>
      </c>
      <c r="C222" s="7" t="s">
        <v>22</v>
      </c>
      <c r="D222" s="7" t="s">
        <v>17</v>
      </c>
      <c r="E222" s="7" t="s">
        <v>18</v>
      </c>
      <c r="F222" s="9">
        <v>1055.9100000000001</v>
      </c>
      <c r="G222" s="9">
        <v>188.15</v>
      </c>
      <c r="H222" s="7">
        <v>3</v>
      </c>
      <c r="I222" s="10">
        <f t="shared" si="6"/>
        <v>0.1781875349224839</v>
      </c>
      <c r="J222" s="7" t="str">
        <f t="shared" si="7"/>
        <v>Low</v>
      </c>
    </row>
    <row r="223" spans="1:10" x14ac:dyDescent="0.3">
      <c r="A223" s="7" t="s">
        <v>344</v>
      </c>
      <c r="B223" s="8" t="s">
        <v>345</v>
      </c>
      <c r="C223" s="7" t="s">
        <v>20</v>
      </c>
      <c r="D223" s="7" t="s">
        <v>63</v>
      </c>
      <c r="E223" s="7" t="s">
        <v>28</v>
      </c>
      <c r="F223" s="9">
        <v>747.76</v>
      </c>
      <c r="G223" s="9">
        <v>330.04</v>
      </c>
      <c r="H223" s="7">
        <v>4</v>
      </c>
      <c r="I223" s="10">
        <f t="shared" si="6"/>
        <v>0.44137156306836423</v>
      </c>
      <c r="J223" s="7" t="str">
        <f t="shared" si="7"/>
        <v>Low</v>
      </c>
    </row>
    <row r="224" spans="1:10" x14ac:dyDescent="0.3">
      <c r="A224" s="7" t="s">
        <v>346</v>
      </c>
      <c r="B224" s="8" t="s">
        <v>345</v>
      </c>
      <c r="C224" s="7" t="s">
        <v>20</v>
      </c>
      <c r="D224" s="7" t="s">
        <v>70</v>
      </c>
      <c r="E224" s="7" t="s">
        <v>14</v>
      </c>
      <c r="F224" s="9">
        <v>1465.36</v>
      </c>
      <c r="G224" s="9">
        <v>310.2</v>
      </c>
      <c r="H224" s="7">
        <v>4</v>
      </c>
      <c r="I224" s="10">
        <f t="shared" si="6"/>
        <v>0.2116885952939892</v>
      </c>
      <c r="J224" s="7" t="str">
        <f t="shared" si="7"/>
        <v>Low</v>
      </c>
    </row>
    <row r="225" spans="1:10" x14ac:dyDescent="0.3">
      <c r="A225" s="7" t="s">
        <v>347</v>
      </c>
      <c r="B225" s="8" t="s">
        <v>345</v>
      </c>
      <c r="C225" s="7" t="s">
        <v>20</v>
      </c>
      <c r="D225" s="7" t="s">
        <v>63</v>
      </c>
      <c r="E225" s="7" t="s">
        <v>28</v>
      </c>
      <c r="F225" s="9">
        <v>764.36</v>
      </c>
      <c r="G225" s="9">
        <v>342.65</v>
      </c>
      <c r="H225" s="7">
        <v>4</v>
      </c>
      <c r="I225" s="10">
        <f t="shared" si="6"/>
        <v>0.44828353132032023</v>
      </c>
      <c r="J225" s="7" t="str">
        <f t="shared" si="7"/>
        <v>Low</v>
      </c>
    </row>
    <row r="226" spans="1:10" x14ac:dyDescent="0.3">
      <c r="A226" s="7" t="s">
        <v>348</v>
      </c>
      <c r="B226" s="8" t="s">
        <v>349</v>
      </c>
      <c r="C226" s="7" t="s">
        <v>22</v>
      </c>
      <c r="D226" s="7" t="s">
        <v>17</v>
      </c>
      <c r="E226" s="7" t="s">
        <v>18</v>
      </c>
      <c r="F226" s="9">
        <v>377.34</v>
      </c>
      <c r="G226" s="9">
        <v>103.91</v>
      </c>
      <c r="H226" s="7">
        <v>1</v>
      </c>
      <c r="I226" s="10">
        <f t="shared" si="6"/>
        <v>0.27537499337467536</v>
      </c>
      <c r="J226" s="7" t="str">
        <f t="shared" si="7"/>
        <v>Low</v>
      </c>
    </row>
    <row r="227" spans="1:10" x14ac:dyDescent="0.3">
      <c r="A227" s="7" t="s">
        <v>350</v>
      </c>
      <c r="B227" s="8" t="s">
        <v>349</v>
      </c>
      <c r="C227" s="7" t="s">
        <v>20</v>
      </c>
      <c r="D227" s="7" t="s">
        <v>27</v>
      </c>
      <c r="E227" s="7" t="s">
        <v>28</v>
      </c>
      <c r="F227" s="9">
        <v>316</v>
      </c>
      <c r="G227" s="9">
        <v>56.72</v>
      </c>
      <c r="H227" s="7">
        <v>1</v>
      </c>
      <c r="I227" s="10">
        <f t="shared" si="6"/>
        <v>0.17949367088607596</v>
      </c>
      <c r="J227" s="7" t="str">
        <f t="shared" si="7"/>
        <v>Low</v>
      </c>
    </row>
    <row r="228" spans="1:10" x14ac:dyDescent="0.3">
      <c r="A228" s="7" t="s">
        <v>351</v>
      </c>
      <c r="B228" s="8" t="s">
        <v>352</v>
      </c>
      <c r="C228" s="7" t="s">
        <v>22</v>
      </c>
      <c r="D228" s="7" t="s">
        <v>79</v>
      </c>
      <c r="E228" s="7" t="s">
        <v>14</v>
      </c>
      <c r="F228" s="9">
        <v>460.35</v>
      </c>
      <c r="G228" s="9">
        <v>185.75</v>
      </c>
      <c r="H228" s="7">
        <v>3</v>
      </c>
      <c r="I228" s="10">
        <f t="shared" si="6"/>
        <v>0.40349733898120993</v>
      </c>
      <c r="J228" s="7" t="str">
        <f t="shared" si="7"/>
        <v>Low</v>
      </c>
    </row>
    <row r="229" spans="1:10" x14ac:dyDescent="0.3">
      <c r="A229" s="7" t="s">
        <v>353</v>
      </c>
      <c r="B229" s="8" t="s">
        <v>352</v>
      </c>
      <c r="C229" s="7" t="s">
        <v>22</v>
      </c>
      <c r="D229" s="7" t="s">
        <v>41</v>
      </c>
      <c r="E229" s="7" t="s">
        <v>28</v>
      </c>
      <c r="F229" s="9">
        <v>575.08000000000004</v>
      </c>
      <c r="G229" s="9">
        <v>262.81</v>
      </c>
      <c r="H229" s="7">
        <v>2</v>
      </c>
      <c r="I229" s="10">
        <f t="shared" si="6"/>
        <v>0.45699728733393613</v>
      </c>
      <c r="J229" s="7" t="str">
        <f t="shared" si="7"/>
        <v>Low</v>
      </c>
    </row>
    <row r="230" spans="1:10" x14ac:dyDescent="0.3">
      <c r="A230" s="7" t="s">
        <v>354</v>
      </c>
      <c r="B230" s="8" t="s">
        <v>352</v>
      </c>
      <c r="C230" s="7" t="s">
        <v>20</v>
      </c>
      <c r="D230" s="7" t="s">
        <v>41</v>
      </c>
      <c r="E230" s="7" t="s">
        <v>28</v>
      </c>
      <c r="F230" s="9">
        <v>292.33</v>
      </c>
      <c r="G230" s="9">
        <v>127.66</v>
      </c>
      <c r="H230" s="7">
        <v>1</v>
      </c>
      <c r="I230" s="10">
        <f t="shared" si="6"/>
        <v>0.43669825197550716</v>
      </c>
      <c r="J230" s="7" t="str">
        <f t="shared" si="7"/>
        <v>Low</v>
      </c>
    </row>
    <row r="231" spans="1:10" x14ac:dyDescent="0.3">
      <c r="A231" s="7" t="s">
        <v>355</v>
      </c>
      <c r="B231" s="8" t="s">
        <v>352</v>
      </c>
      <c r="C231" s="7" t="s">
        <v>22</v>
      </c>
      <c r="D231" s="7" t="s">
        <v>38</v>
      </c>
      <c r="E231" s="7" t="s">
        <v>18</v>
      </c>
      <c r="F231" s="9">
        <v>1181.97</v>
      </c>
      <c r="G231" s="9">
        <v>349.8</v>
      </c>
      <c r="H231" s="7">
        <v>3</v>
      </c>
      <c r="I231" s="10">
        <f t="shared" si="6"/>
        <v>0.29594659762938147</v>
      </c>
      <c r="J231" s="7" t="str">
        <f t="shared" si="7"/>
        <v>Low</v>
      </c>
    </row>
    <row r="232" spans="1:10" x14ac:dyDescent="0.3">
      <c r="A232" s="7" t="s">
        <v>356</v>
      </c>
      <c r="B232" s="8" t="s">
        <v>352</v>
      </c>
      <c r="C232" s="7" t="s">
        <v>20</v>
      </c>
      <c r="D232" s="7" t="s">
        <v>79</v>
      </c>
      <c r="E232" s="7" t="s">
        <v>14</v>
      </c>
      <c r="F232" s="9">
        <v>306.24</v>
      </c>
      <c r="G232" s="9">
        <v>110</v>
      </c>
      <c r="H232" s="7">
        <v>2</v>
      </c>
      <c r="I232" s="10">
        <f t="shared" si="6"/>
        <v>0.35919540229885055</v>
      </c>
      <c r="J232" s="7" t="str">
        <f t="shared" si="7"/>
        <v>Low</v>
      </c>
    </row>
    <row r="233" spans="1:10" x14ac:dyDescent="0.3">
      <c r="A233" s="7" t="s">
        <v>357</v>
      </c>
      <c r="B233" s="8" t="s">
        <v>358</v>
      </c>
      <c r="C233" s="7" t="s">
        <v>12</v>
      </c>
      <c r="D233" s="7" t="s">
        <v>43</v>
      </c>
      <c r="E233" s="7" t="s">
        <v>24</v>
      </c>
      <c r="F233" s="9">
        <v>195.16</v>
      </c>
      <c r="G233" s="9">
        <v>46.4</v>
      </c>
      <c r="H233" s="7">
        <v>2</v>
      </c>
      <c r="I233" s="10">
        <f t="shared" si="6"/>
        <v>0.23775363804058208</v>
      </c>
      <c r="J233" s="7" t="str">
        <f t="shared" si="7"/>
        <v>Low</v>
      </c>
    </row>
    <row r="234" spans="1:10" x14ac:dyDescent="0.3">
      <c r="A234" s="7" t="s">
        <v>359</v>
      </c>
      <c r="B234" s="8" t="s">
        <v>358</v>
      </c>
      <c r="C234" s="7" t="s">
        <v>12</v>
      </c>
      <c r="D234" s="7" t="s">
        <v>34</v>
      </c>
      <c r="E234" s="7" t="s">
        <v>24</v>
      </c>
      <c r="F234" s="9">
        <v>1118.46</v>
      </c>
      <c r="G234" s="9">
        <v>270.16000000000003</v>
      </c>
      <c r="H234" s="7">
        <v>3</v>
      </c>
      <c r="I234" s="10">
        <f t="shared" si="6"/>
        <v>0.24154641203082811</v>
      </c>
      <c r="J234" s="7" t="str">
        <f t="shared" si="7"/>
        <v>Low</v>
      </c>
    </row>
    <row r="235" spans="1:10" x14ac:dyDescent="0.3">
      <c r="A235" s="7" t="s">
        <v>360</v>
      </c>
      <c r="B235" s="8" t="s">
        <v>358</v>
      </c>
      <c r="C235" s="7" t="s">
        <v>32</v>
      </c>
      <c r="D235" s="7" t="s">
        <v>34</v>
      </c>
      <c r="E235" s="7" t="s">
        <v>24</v>
      </c>
      <c r="F235" s="9">
        <v>717.3</v>
      </c>
      <c r="G235" s="9">
        <v>180.18</v>
      </c>
      <c r="H235" s="7">
        <v>2</v>
      </c>
      <c r="I235" s="10">
        <f t="shared" si="6"/>
        <v>0.25119196988707654</v>
      </c>
      <c r="J235" s="7" t="str">
        <f t="shared" si="7"/>
        <v>Low</v>
      </c>
    </row>
    <row r="236" spans="1:10" x14ac:dyDescent="0.3">
      <c r="A236" s="7" t="s">
        <v>361</v>
      </c>
      <c r="B236" s="8" t="s">
        <v>362</v>
      </c>
      <c r="C236" s="7" t="s">
        <v>32</v>
      </c>
      <c r="D236" s="7" t="s">
        <v>112</v>
      </c>
      <c r="E236" s="7" t="s">
        <v>14</v>
      </c>
      <c r="F236" s="9">
        <v>422.67</v>
      </c>
      <c r="G236" s="9">
        <v>148.15</v>
      </c>
      <c r="H236" s="7">
        <v>1</v>
      </c>
      <c r="I236" s="10">
        <f t="shared" si="6"/>
        <v>0.35050985402323326</v>
      </c>
      <c r="J236" s="7" t="str">
        <f t="shared" si="7"/>
        <v>Low</v>
      </c>
    </row>
    <row r="237" spans="1:10" x14ac:dyDescent="0.3">
      <c r="A237" s="7" t="s">
        <v>363</v>
      </c>
      <c r="B237" s="8" t="s">
        <v>364</v>
      </c>
      <c r="C237" s="7" t="s">
        <v>20</v>
      </c>
      <c r="D237" s="7" t="s">
        <v>34</v>
      </c>
      <c r="E237" s="7" t="s">
        <v>24</v>
      </c>
      <c r="F237" s="9">
        <v>373.93</v>
      </c>
      <c r="G237" s="9">
        <v>84.46</v>
      </c>
      <c r="H237" s="7">
        <v>1</v>
      </c>
      <c r="I237" s="10">
        <f t="shared" si="6"/>
        <v>0.22587115235471877</v>
      </c>
      <c r="J237" s="7" t="str">
        <f t="shared" si="7"/>
        <v>Low</v>
      </c>
    </row>
    <row r="238" spans="1:10" x14ac:dyDescent="0.3">
      <c r="A238" s="7" t="s">
        <v>365</v>
      </c>
      <c r="B238" s="8" t="s">
        <v>364</v>
      </c>
      <c r="C238" s="7" t="s">
        <v>32</v>
      </c>
      <c r="D238" s="7" t="s">
        <v>50</v>
      </c>
      <c r="E238" s="7" t="s">
        <v>14</v>
      </c>
      <c r="F238" s="9">
        <v>49.24</v>
      </c>
      <c r="G238" s="9">
        <v>20.67</v>
      </c>
      <c r="H238" s="7">
        <v>1</v>
      </c>
      <c r="I238" s="10">
        <f t="shared" si="6"/>
        <v>0.41978066612510156</v>
      </c>
      <c r="J238" s="7" t="str">
        <f t="shared" si="7"/>
        <v>Low</v>
      </c>
    </row>
    <row r="239" spans="1:10" x14ac:dyDescent="0.3">
      <c r="A239" s="7" t="s">
        <v>366</v>
      </c>
      <c r="B239" s="8" t="s">
        <v>364</v>
      </c>
      <c r="C239" s="7" t="s">
        <v>22</v>
      </c>
      <c r="D239" s="7" t="s">
        <v>63</v>
      </c>
      <c r="E239" s="7" t="s">
        <v>28</v>
      </c>
      <c r="F239" s="9">
        <v>369.16</v>
      </c>
      <c r="G239" s="9">
        <v>145.83000000000001</v>
      </c>
      <c r="H239" s="7">
        <v>2</v>
      </c>
      <c r="I239" s="10">
        <f t="shared" si="6"/>
        <v>0.39503196445985483</v>
      </c>
      <c r="J239" s="7" t="str">
        <f t="shared" si="7"/>
        <v>Low</v>
      </c>
    </row>
    <row r="240" spans="1:10" x14ac:dyDescent="0.3">
      <c r="A240" s="7" t="s">
        <v>367</v>
      </c>
      <c r="B240" s="8" t="s">
        <v>368</v>
      </c>
      <c r="C240" s="7" t="s">
        <v>12</v>
      </c>
      <c r="D240" s="7" t="s">
        <v>79</v>
      </c>
      <c r="E240" s="7" t="s">
        <v>14</v>
      </c>
      <c r="F240" s="9">
        <v>453.21</v>
      </c>
      <c r="G240" s="9">
        <v>168.33</v>
      </c>
      <c r="H240" s="7">
        <v>3</v>
      </c>
      <c r="I240" s="10">
        <f t="shared" si="6"/>
        <v>0.37141722380353481</v>
      </c>
      <c r="J240" s="7" t="str">
        <f t="shared" si="7"/>
        <v>Low</v>
      </c>
    </row>
    <row r="241" spans="1:10" x14ac:dyDescent="0.3">
      <c r="A241" s="7" t="s">
        <v>369</v>
      </c>
      <c r="B241" s="8" t="s">
        <v>368</v>
      </c>
      <c r="C241" s="7" t="s">
        <v>20</v>
      </c>
      <c r="D241" s="7" t="s">
        <v>70</v>
      </c>
      <c r="E241" s="7" t="s">
        <v>14</v>
      </c>
      <c r="F241" s="9">
        <v>705.3</v>
      </c>
      <c r="G241" s="9">
        <v>144.4</v>
      </c>
      <c r="H241" s="7">
        <v>2</v>
      </c>
      <c r="I241" s="10">
        <f t="shared" si="6"/>
        <v>0.20473557351481642</v>
      </c>
      <c r="J241" s="7" t="str">
        <f t="shared" si="7"/>
        <v>Low</v>
      </c>
    </row>
    <row r="242" spans="1:10" x14ac:dyDescent="0.3">
      <c r="A242" s="7" t="s">
        <v>370</v>
      </c>
      <c r="B242" s="8" t="s">
        <v>371</v>
      </c>
      <c r="C242" s="7" t="s">
        <v>32</v>
      </c>
      <c r="D242" s="7" t="s">
        <v>13</v>
      </c>
      <c r="E242" s="7" t="s">
        <v>14</v>
      </c>
      <c r="F242" s="9">
        <v>2283.48</v>
      </c>
      <c r="G242" s="9">
        <v>645.26</v>
      </c>
      <c r="H242" s="7">
        <v>6</v>
      </c>
      <c r="I242" s="10">
        <f t="shared" si="6"/>
        <v>0.28257746947641321</v>
      </c>
      <c r="J242" s="7" t="str">
        <f t="shared" si="7"/>
        <v>Medium</v>
      </c>
    </row>
    <row r="243" spans="1:10" x14ac:dyDescent="0.3">
      <c r="A243" s="7" t="s">
        <v>372</v>
      </c>
      <c r="B243" s="8" t="s">
        <v>371</v>
      </c>
      <c r="C243" s="7" t="s">
        <v>22</v>
      </c>
      <c r="D243" s="7" t="s">
        <v>34</v>
      </c>
      <c r="E243" s="7" t="s">
        <v>24</v>
      </c>
      <c r="F243" s="9">
        <v>337.39</v>
      </c>
      <c r="G243" s="9">
        <v>59.86</v>
      </c>
      <c r="H243" s="7">
        <v>1</v>
      </c>
      <c r="I243" s="10">
        <f t="shared" si="6"/>
        <v>0.17742078899789562</v>
      </c>
      <c r="J243" s="7" t="str">
        <f t="shared" si="7"/>
        <v>Low</v>
      </c>
    </row>
    <row r="244" spans="1:10" x14ac:dyDescent="0.3">
      <c r="A244" s="7" t="s">
        <v>373</v>
      </c>
      <c r="B244" s="8" t="s">
        <v>374</v>
      </c>
      <c r="C244" s="7" t="s">
        <v>32</v>
      </c>
      <c r="D244" s="7" t="s">
        <v>41</v>
      </c>
      <c r="E244" s="7" t="s">
        <v>28</v>
      </c>
      <c r="F244" s="9">
        <v>873.81</v>
      </c>
      <c r="G244" s="9">
        <v>409.4</v>
      </c>
      <c r="H244" s="7">
        <v>3</v>
      </c>
      <c r="I244" s="10">
        <f t="shared" si="6"/>
        <v>0.46852290543710878</v>
      </c>
      <c r="J244" s="7" t="str">
        <f t="shared" si="7"/>
        <v>Low</v>
      </c>
    </row>
    <row r="245" spans="1:10" x14ac:dyDescent="0.3">
      <c r="A245" s="7" t="s">
        <v>375</v>
      </c>
      <c r="B245" s="8" t="s">
        <v>374</v>
      </c>
      <c r="C245" s="7" t="s">
        <v>22</v>
      </c>
      <c r="D245" s="7" t="s">
        <v>79</v>
      </c>
      <c r="E245" s="7" t="s">
        <v>14</v>
      </c>
      <c r="F245" s="9">
        <v>443.49</v>
      </c>
      <c r="G245" s="9">
        <v>150.18</v>
      </c>
      <c r="H245" s="7">
        <v>3</v>
      </c>
      <c r="I245" s="10">
        <f t="shared" si="6"/>
        <v>0.33863221267672328</v>
      </c>
      <c r="J245" s="7" t="str">
        <f t="shared" si="7"/>
        <v>Low</v>
      </c>
    </row>
    <row r="246" spans="1:10" x14ac:dyDescent="0.3">
      <c r="A246" s="7" t="s">
        <v>376</v>
      </c>
      <c r="B246" s="8" t="s">
        <v>374</v>
      </c>
      <c r="C246" s="7" t="s">
        <v>32</v>
      </c>
      <c r="D246" s="7" t="s">
        <v>27</v>
      </c>
      <c r="E246" s="7" t="s">
        <v>28</v>
      </c>
      <c r="F246" s="9">
        <v>986.46</v>
      </c>
      <c r="G246" s="9">
        <v>235.84</v>
      </c>
      <c r="H246" s="7">
        <v>3</v>
      </c>
      <c r="I246" s="10">
        <f t="shared" si="6"/>
        <v>0.23907710398799747</v>
      </c>
      <c r="J246" s="7" t="str">
        <f t="shared" si="7"/>
        <v>Low</v>
      </c>
    </row>
    <row r="247" spans="1:10" x14ac:dyDescent="0.3">
      <c r="A247" s="7" t="s">
        <v>377</v>
      </c>
      <c r="B247" s="8" t="s">
        <v>374</v>
      </c>
      <c r="C247" s="7" t="s">
        <v>12</v>
      </c>
      <c r="D247" s="7" t="s">
        <v>85</v>
      </c>
      <c r="E247" s="7" t="s">
        <v>24</v>
      </c>
      <c r="F247" s="9">
        <v>339.73</v>
      </c>
      <c r="G247" s="9">
        <v>141.88</v>
      </c>
      <c r="H247" s="7">
        <v>1</v>
      </c>
      <c r="I247" s="10">
        <f t="shared" si="6"/>
        <v>0.41762576163423892</v>
      </c>
      <c r="J247" s="7" t="str">
        <f t="shared" si="7"/>
        <v>Low</v>
      </c>
    </row>
    <row r="248" spans="1:10" x14ac:dyDescent="0.3">
      <c r="A248" s="7" t="s">
        <v>378</v>
      </c>
      <c r="B248" s="8" t="s">
        <v>379</v>
      </c>
      <c r="C248" s="7" t="s">
        <v>22</v>
      </c>
      <c r="D248" s="7" t="s">
        <v>50</v>
      </c>
      <c r="E248" s="7" t="s">
        <v>14</v>
      </c>
      <c r="F248" s="9">
        <v>97.8</v>
      </c>
      <c r="G248" s="9">
        <v>43.87</v>
      </c>
      <c r="H248" s="7">
        <v>2</v>
      </c>
      <c r="I248" s="10">
        <f t="shared" si="6"/>
        <v>0.44856850715746421</v>
      </c>
      <c r="J248" s="7" t="str">
        <f t="shared" si="7"/>
        <v>Low</v>
      </c>
    </row>
    <row r="249" spans="1:10" x14ac:dyDescent="0.3">
      <c r="A249" s="7" t="s">
        <v>380</v>
      </c>
      <c r="B249" s="8" t="s">
        <v>381</v>
      </c>
      <c r="C249" s="7" t="s">
        <v>12</v>
      </c>
      <c r="D249" s="7" t="s">
        <v>85</v>
      </c>
      <c r="E249" s="7" t="s">
        <v>24</v>
      </c>
      <c r="F249" s="9">
        <v>365.37</v>
      </c>
      <c r="G249" s="9">
        <v>169.77</v>
      </c>
      <c r="H249" s="7">
        <v>1</v>
      </c>
      <c r="I249" s="10">
        <f t="shared" si="6"/>
        <v>0.46465227030133838</v>
      </c>
      <c r="J249" s="7" t="str">
        <f t="shared" si="7"/>
        <v>Low</v>
      </c>
    </row>
    <row r="250" spans="1:10" x14ac:dyDescent="0.3">
      <c r="A250" s="7" t="s">
        <v>382</v>
      </c>
      <c r="B250" s="8" t="s">
        <v>381</v>
      </c>
      <c r="C250" s="7" t="s">
        <v>12</v>
      </c>
      <c r="D250" s="7" t="s">
        <v>27</v>
      </c>
      <c r="E250" s="7" t="s">
        <v>28</v>
      </c>
      <c r="F250" s="9">
        <v>1032.1500000000001</v>
      </c>
      <c r="G250" s="9">
        <v>259.16000000000003</v>
      </c>
      <c r="H250" s="7">
        <v>3</v>
      </c>
      <c r="I250" s="10">
        <f t="shared" si="6"/>
        <v>0.25108753572639636</v>
      </c>
      <c r="J250" s="7" t="str">
        <f t="shared" si="7"/>
        <v>Low</v>
      </c>
    </row>
    <row r="251" spans="1:10" x14ac:dyDescent="0.3">
      <c r="A251" s="7" t="s">
        <v>383</v>
      </c>
      <c r="B251" s="8" t="s">
        <v>384</v>
      </c>
      <c r="C251" s="7" t="s">
        <v>32</v>
      </c>
      <c r="D251" s="7" t="s">
        <v>38</v>
      </c>
      <c r="E251" s="7" t="s">
        <v>18</v>
      </c>
      <c r="F251" s="9">
        <v>1873.05</v>
      </c>
      <c r="G251" s="9">
        <v>455.25</v>
      </c>
      <c r="H251" s="7">
        <v>5</v>
      </c>
      <c r="I251" s="10">
        <f t="shared" si="6"/>
        <v>0.24305277488588131</v>
      </c>
      <c r="J251" s="7" t="str">
        <f t="shared" si="7"/>
        <v>Medium</v>
      </c>
    </row>
    <row r="252" spans="1:10" x14ac:dyDescent="0.3">
      <c r="A252" s="7" t="s">
        <v>385</v>
      </c>
      <c r="B252" s="8" t="s">
        <v>384</v>
      </c>
      <c r="C252" s="7" t="s">
        <v>20</v>
      </c>
      <c r="D252" s="7" t="s">
        <v>27</v>
      </c>
      <c r="E252" s="7" t="s">
        <v>28</v>
      </c>
      <c r="F252" s="9">
        <v>324.05</v>
      </c>
      <c r="G252" s="9">
        <v>83.06</v>
      </c>
      <c r="H252" s="7">
        <v>1</v>
      </c>
      <c r="I252" s="10">
        <f t="shared" si="6"/>
        <v>0.25631846937201047</v>
      </c>
      <c r="J252" s="7" t="str">
        <f t="shared" si="7"/>
        <v>Low</v>
      </c>
    </row>
    <row r="253" spans="1:10" x14ac:dyDescent="0.3">
      <c r="A253" s="7" t="s">
        <v>386</v>
      </c>
      <c r="B253" s="8" t="s">
        <v>384</v>
      </c>
      <c r="C253" s="7" t="s">
        <v>20</v>
      </c>
      <c r="D253" s="7" t="s">
        <v>254</v>
      </c>
      <c r="E253" s="7" t="s">
        <v>24</v>
      </c>
      <c r="F253" s="9">
        <v>37.32</v>
      </c>
      <c r="G253" s="9">
        <v>12.7</v>
      </c>
      <c r="H253" s="7">
        <v>2</v>
      </c>
      <c r="I253" s="10">
        <f t="shared" si="6"/>
        <v>0.34030010718113612</v>
      </c>
      <c r="J253" s="7" t="str">
        <f t="shared" si="7"/>
        <v>Low</v>
      </c>
    </row>
    <row r="254" spans="1:10" x14ac:dyDescent="0.3">
      <c r="A254" s="7" t="s">
        <v>387</v>
      </c>
      <c r="B254" s="8" t="s">
        <v>388</v>
      </c>
      <c r="C254" s="7" t="s">
        <v>32</v>
      </c>
      <c r="D254" s="7" t="s">
        <v>85</v>
      </c>
      <c r="E254" s="7" t="s">
        <v>24</v>
      </c>
      <c r="F254" s="9">
        <v>1016.22</v>
      </c>
      <c r="G254" s="9">
        <v>417.73</v>
      </c>
      <c r="H254" s="7">
        <v>3</v>
      </c>
      <c r="I254" s="10">
        <f t="shared" si="6"/>
        <v>0.41106256519257639</v>
      </c>
      <c r="J254" s="7" t="str">
        <f t="shared" si="7"/>
        <v>Low</v>
      </c>
    </row>
    <row r="255" spans="1:10" x14ac:dyDescent="0.3">
      <c r="A255" s="7" t="s">
        <v>389</v>
      </c>
      <c r="B255" s="8" t="s">
        <v>388</v>
      </c>
      <c r="C255" s="7" t="s">
        <v>20</v>
      </c>
      <c r="D255" s="7" t="s">
        <v>23</v>
      </c>
      <c r="E255" s="7" t="s">
        <v>24</v>
      </c>
      <c r="F255" s="9">
        <v>868.08</v>
      </c>
      <c r="G255" s="9">
        <v>271.68</v>
      </c>
      <c r="H255" s="7">
        <v>8</v>
      </c>
      <c r="I255" s="10">
        <f t="shared" si="6"/>
        <v>0.31296654686204034</v>
      </c>
      <c r="J255" s="7" t="str">
        <f t="shared" si="7"/>
        <v>Low</v>
      </c>
    </row>
    <row r="256" spans="1:10" x14ac:dyDescent="0.3">
      <c r="A256" s="7" t="s">
        <v>390</v>
      </c>
      <c r="B256" s="8" t="s">
        <v>388</v>
      </c>
      <c r="C256" s="7" t="s">
        <v>22</v>
      </c>
      <c r="D256" s="7" t="s">
        <v>112</v>
      </c>
      <c r="E256" s="7" t="s">
        <v>14</v>
      </c>
      <c r="F256" s="9">
        <v>1786.96</v>
      </c>
      <c r="G256" s="9">
        <v>677.16</v>
      </c>
      <c r="H256" s="7">
        <v>4</v>
      </c>
      <c r="I256" s="10">
        <f t="shared" si="6"/>
        <v>0.37894524779513811</v>
      </c>
      <c r="J256" s="7" t="str">
        <f t="shared" si="7"/>
        <v>Medium</v>
      </c>
    </row>
    <row r="257" spans="1:10" x14ac:dyDescent="0.3">
      <c r="A257" s="7" t="s">
        <v>391</v>
      </c>
      <c r="B257" s="8" t="s">
        <v>388</v>
      </c>
      <c r="C257" s="7" t="s">
        <v>32</v>
      </c>
      <c r="D257" s="7" t="s">
        <v>34</v>
      </c>
      <c r="E257" s="7" t="s">
        <v>24</v>
      </c>
      <c r="F257" s="9">
        <v>2154.42</v>
      </c>
      <c r="G257" s="9">
        <v>441.83</v>
      </c>
      <c r="H257" s="7">
        <v>6</v>
      </c>
      <c r="I257" s="10">
        <f t="shared" si="6"/>
        <v>0.20508071778019141</v>
      </c>
      <c r="J257" s="7" t="str">
        <f t="shared" si="7"/>
        <v>Medium</v>
      </c>
    </row>
    <row r="258" spans="1:10" x14ac:dyDescent="0.3">
      <c r="A258" s="7" t="s">
        <v>392</v>
      </c>
      <c r="B258" s="8" t="s">
        <v>393</v>
      </c>
      <c r="C258" s="7" t="s">
        <v>22</v>
      </c>
      <c r="D258" s="7" t="s">
        <v>112</v>
      </c>
      <c r="E258" s="7" t="s">
        <v>14</v>
      </c>
      <c r="F258" s="9">
        <v>1210.6199999999999</v>
      </c>
      <c r="G258" s="9">
        <v>408.25</v>
      </c>
      <c r="H258" s="7">
        <v>3</v>
      </c>
      <c r="I258" s="10">
        <f t="shared" ref="I258:I321" si="8">IFERROR(G258/F258,0)</f>
        <v>0.33722390180238226</v>
      </c>
      <c r="J258" s="7" t="str">
        <f t="shared" ref="J258:J321" si="9">IF(F258&gt;5000,"High",IF(F258&gt;1500,"Medium","Low"))</f>
        <v>Low</v>
      </c>
    </row>
    <row r="259" spans="1:10" x14ac:dyDescent="0.3">
      <c r="A259" s="7" t="s">
        <v>394</v>
      </c>
      <c r="B259" s="8" t="s">
        <v>393</v>
      </c>
      <c r="C259" s="7" t="s">
        <v>12</v>
      </c>
      <c r="D259" s="7" t="s">
        <v>85</v>
      </c>
      <c r="E259" s="7" t="s">
        <v>24</v>
      </c>
      <c r="F259" s="9">
        <v>362.24</v>
      </c>
      <c r="G259" s="9">
        <v>163.21</v>
      </c>
      <c r="H259" s="7">
        <v>1</v>
      </c>
      <c r="I259" s="10">
        <f t="shared" si="8"/>
        <v>0.45055764134275622</v>
      </c>
      <c r="J259" s="7" t="str">
        <f t="shared" si="9"/>
        <v>Low</v>
      </c>
    </row>
    <row r="260" spans="1:10" x14ac:dyDescent="0.3">
      <c r="A260" s="7" t="s">
        <v>395</v>
      </c>
      <c r="B260" s="8" t="s">
        <v>396</v>
      </c>
      <c r="C260" s="7" t="s">
        <v>12</v>
      </c>
      <c r="D260" s="7" t="s">
        <v>38</v>
      </c>
      <c r="E260" s="7" t="s">
        <v>18</v>
      </c>
      <c r="F260" s="9">
        <v>1892.1</v>
      </c>
      <c r="G260" s="9">
        <v>529.66</v>
      </c>
      <c r="H260" s="7">
        <v>5</v>
      </c>
      <c r="I260" s="10">
        <f t="shared" si="8"/>
        <v>0.27993235029861002</v>
      </c>
      <c r="J260" s="7" t="str">
        <f t="shared" si="9"/>
        <v>Medium</v>
      </c>
    </row>
    <row r="261" spans="1:10" x14ac:dyDescent="0.3">
      <c r="A261" s="7" t="s">
        <v>397</v>
      </c>
      <c r="B261" s="8" t="s">
        <v>398</v>
      </c>
      <c r="C261" s="7" t="s">
        <v>12</v>
      </c>
      <c r="D261" s="7" t="s">
        <v>38</v>
      </c>
      <c r="E261" s="7" t="s">
        <v>18</v>
      </c>
      <c r="F261" s="9">
        <v>726.72</v>
      </c>
      <c r="G261" s="9">
        <v>141.47</v>
      </c>
      <c r="H261" s="7">
        <v>2</v>
      </c>
      <c r="I261" s="10">
        <f t="shared" si="8"/>
        <v>0.1946691985909291</v>
      </c>
      <c r="J261" s="7" t="str">
        <f t="shared" si="9"/>
        <v>Low</v>
      </c>
    </row>
    <row r="262" spans="1:10" x14ac:dyDescent="0.3">
      <c r="A262" s="7" t="s">
        <v>399</v>
      </c>
      <c r="B262" s="8" t="s">
        <v>398</v>
      </c>
      <c r="C262" s="7" t="s">
        <v>20</v>
      </c>
      <c r="D262" s="7" t="s">
        <v>89</v>
      </c>
      <c r="E262" s="7" t="s">
        <v>24</v>
      </c>
      <c r="F262" s="9">
        <v>1089</v>
      </c>
      <c r="G262" s="9">
        <v>241.89</v>
      </c>
      <c r="H262" s="7">
        <v>4</v>
      </c>
      <c r="I262" s="10">
        <f t="shared" si="8"/>
        <v>0.22212121212121211</v>
      </c>
      <c r="J262" s="7" t="str">
        <f t="shared" si="9"/>
        <v>Low</v>
      </c>
    </row>
    <row r="263" spans="1:10" x14ac:dyDescent="0.3">
      <c r="A263" s="7" t="s">
        <v>400</v>
      </c>
      <c r="B263" s="8" t="s">
        <v>401</v>
      </c>
      <c r="C263" s="7" t="s">
        <v>20</v>
      </c>
      <c r="D263" s="7" t="s">
        <v>54</v>
      </c>
      <c r="E263" s="7" t="s">
        <v>28</v>
      </c>
      <c r="F263" s="9">
        <v>722.16</v>
      </c>
      <c r="G263" s="9">
        <v>221.75</v>
      </c>
      <c r="H263" s="7">
        <v>6</v>
      </c>
      <c r="I263" s="10">
        <f t="shared" si="8"/>
        <v>0.30706491636202504</v>
      </c>
      <c r="J263" s="7" t="str">
        <f t="shared" si="9"/>
        <v>Low</v>
      </c>
    </row>
    <row r="264" spans="1:10" x14ac:dyDescent="0.3">
      <c r="A264" s="7" t="s">
        <v>402</v>
      </c>
      <c r="B264" s="8" t="s">
        <v>401</v>
      </c>
      <c r="C264" s="7" t="s">
        <v>12</v>
      </c>
      <c r="D264" s="7" t="s">
        <v>23</v>
      </c>
      <c r="E264" s="7" t="s">
        <v>24</v>
      </c>
      <c r="F264" s="9">
        <v>415.44</v>
      </c>
      <c r="G264" s="9">
        <v>119.57</v>
      </c>
      <c r="H264" s="7">
        <v>4</v>
      </c>
      <c r="I264" s="10">
        <f t="shared" si="8"/>
        <v>0.28781532832659346</v>
      </c>
      <c r="J264" s="7" t="str">
        <f t="shared" si="9"/>
        <v>Low</v>
      </c>
    </row>
    <row r="265" spans="1:10" x14ac:dyDescent="0.3">
      <c r="A265" s="7" t="s">
        <v>403</v>
      </c>
      <c r="B265" s="8" t="s">
        <v>401</v>
      </c>
      <c r="C265" s="7" t="s">
        <v>32</v>
      </c>
      <c r="D265" s="7" t="s">
        <v>79</v>
      </c>
      <c r="E265" s="7" t="s">
        <v>14</v>
      </c>
      <c r="F265" s="9">
        <v>154.74</v>
      </c>
      <c r="G265" s="9">
        <v>59.83</v>
      </c>
      <c r="H265" s="7">
        <v>1</v>
      </c>
      <c r="I265" s="10">
        <f t="shared" si="8"/>
        <v>0.38664857179785445</v>
      </c>
      <c r="J265" s="7" t="str">
        <f t="shared" si="9"/>
        <v>Low</v>
      </c>
    </row>
    <row r="266" spans="1:10" x14ac:dyDescent="0.3">
      <c r="A266" s="7" t="s">
        <v>404</v>
      </c>
      <c r="B266" s="8" t="s">
        <v>405</v>
      </c>
      <c r="C266" s="7" t="s">
        <v>32</v>
      </c>
      <c r="D266" s="7" t="s">
        <v>50</v>
      </c>
      <c r="E266" s="7" t="s">
        <v>14</v>
      </c>
      <c r="F266" s="9">
        <v>144.33000000000001</v>
      </c>
      <c r="G266" s="9">
        <v>61.54</v>
      </c>
      <c r="H266" s="7">
        <v>3</v>
      </c>
      <c r="I266" s="10">
        <f t="shared" si="8"/>
        <v>0.42638398115429915</v>
      </c>
      <c r="J266" s="7" t="str">
        <f t="shared" si="9"/>
        <v>Low</v>
      </c>
    </row>
    <row r="267" spans="1:10" x14ac:dyDescent="0.3">
      <c r="A267" s="7" t="s">
        <v>406</v>
      </c>
      <c r="B267" s="8" t="s">
        <v>407</v>
      </c>
      <c r="C267" s="7" t="s">
        <v>22</v>
      </c>
      <c r="D267" s="7" t="s">
        <v>41</v>
      </c>
      <c r="E267" s="7" t="s">
        <v>28</v>
      </c>
      <c r="F267" s="9">
        <v>563.12</v>
      </c>
      <c r="G267" s="9">
        <v>237.96</v>
      </c>
      <c r="H267" s="7">
        <v>2</v>
      </c>
      <c r="I267" s="10">
        <f t="shared" si="8"/>
        <v>0.42257422929393379</v>
      </c>
      <c r="J267" s="7" t="str">
        <f t="shared" si="9"/>
        <v>Low</v>
      </c>
    </row>
    <row r="268" spans="1:10" x14ac:dyDescent="0.3">
      <c r="A268" s="7" t="s">
        <v>408</v>
      </c>
      <c r="B268" s="8" t="s">
        <v>407</v>
      </c>
      <c r="C268" s="7" t="s">
        <v>20</v>
      </c>
      <c r="D268" s="7" t="s">
        <v>70</v>
      </c>
      <c r="E268" s="7" t="s">
        <v>14</v>
      </c>
      <c r="F268" s="9">
        <v>336.15</v>
      </c>
      <c r="G268" s="9">
        <v>61.74</v>
      </c>
      <c r="H268" s="7">
        <v>1</v>
      </c>
      <c r="I268" s="10">
        <f t="shared" si="8"/>
        <v>0.18366800535475236</v>
      </c>
      <c r="J268" s="7" t="str">
        <f t="shared" si="9"/>
        <v>Low</v>
      </c>
    </row>
    <row r="269" spans="1:10" x14ac:dyDescent="0.3">
      <c r="A269" s="7" t="s">
        <v>409</v>
      </c>
      <c r="B269" s="8" t="s">
        <v>407</v>
      </c>
      <c r="C269" s="7" t="s">
        <v>12</v>
      </c>
      <c r="D269" s="7" t="s">
        <v>27</v>
      </c>
      <c r="E269" s="7" t="s">
        <v>28</v>
      </c>
      <c r="F269" s="9">
        <v>332.9</v>
      </c>
      <c r="G269" s="9">
        <v>76.2</v>
      </c>
      <c r="H269" s="7">
        <v>1</v>
      </c>
      <c r="I269" s="10">
        <f t="shared" si="8"/>
        <v>0.22889756683688797</v>
      </c>
      <c r="J269" s="7" t="str">
        <f t="shared" si="9"/>
        <v>Low</v>
      </c>
    </row>
    <row r="270" spans="1:10" x14ac:dyDescent="0.3">
      <c r="A270" s="7" t="s">
        <v>410</v>
      </c>
      <c r="B270" s="8" t="s">
        <v>411</v>
      </c>
      <c r="C270" s="7" t="s">
        <v>20</v>
      </c>
      <c r="D270" s="7" t="s">
        <v>17</v>
      </c>
      <c r="E270" s="7" t="s">
        <v>18</v>
      </c>
      <c r="F270" s="9">
        <v>786.1</v>
      </c>
      <c r="G270" s="9">
        <v>209.39</v>
      </c>
      <c r="H270" s="7">
        <v>2</v>
      </c>
      <c r="I270" s="10">
        <f t="shared" si="8"/>
        <v>0.26636560234066908</v>
      </c>
      <c r="J270" s="7" t="str">
        <f t="shared" si="9"/>
        <v>Low</v>
      </c>
    </row>
    <row r="271" spans="1:10" x14ac:dyDescent="0.3">
      <c r="A271" s="7" t="s">
        <v>412</v>
      </c>
      <c r="B271" s="8" t="s">
        <v>411</v>
      </c>
      <c r="C271" s="7" t="s">
        <v>12</v>
      </c>
      <c r="D271" s="7" t="s">
        <v>63</v>
      </c>
      <c r="E271" s="7" t="s">
        <v>28</v>
      </c>
      <c r="F271" s="9">
        <v>1432.16</v>
      </c>
      <c r="G271" s="9">
        <v>539.41</v>
      </c>
      <c r="H271" s="7">
        <v>8</v>
      </c>
      <c r="I271" s="10">
        <f t="shared" si="8"/>
        <v>0.37664087811417712</v>
      </c>
      <c r="J271" s="7" t="str">
        <f t="shared" si="9"/>
        <v>Low</v>
      </c>
    </row>
    <row r="272" spans="1:10" x14ac:dyDescent="0.3">
      <c r="A272" s="7" t="s">
        <v>413</v>
      </c>
      <c r="B272" s="8" t="s">
        <v>411</v>
      </c>
      <c r="C272" s="7" t="s">
        <v>32</v>
      </c>
      <c r="D272" s="7" t="s">
        <v>17</v>
      </c>
      <c r="E272" s="7" t="s">
        <v>18</v>
      </c>
      <c r="F272" s="9">
        <v>1044.06</v>
      </c>
      <c r="G272" s="9">
        <v>197.52</v>
      </c>
      <c r="H272" s="7">
        <v>3</v>
      </c>
      <c r="I272" s="10">
        <f t="shared" si="8"/>
        <v>0.18918452962473423</v>
      </c>
      <c r="J272" s="7" t="str">
        <f t="shared" si="9"/>
        <v>Low</v>
      </c>
    </row>
    <row r="273" spans="1:10" x14ac:dyDescent="0.3">
      <c r="A273" s="7" t="s">
        <v>414</v>
      </c>
      <c r="B273" s="8" t="s">
        <v>411</v>
      </c>
      <c r="C273" s="7" t="s">
        <v>20</v>
      </c>
      <c r="D273" s="7" t="s">
        <v>34</v>
      </c>
      <c r="E273" s="7" t="s">
        <v>24</v>
      </c>
      <c r="F273" s="9">
        <v>1507.24</v>
      </c>
      <c r="G273" s="9">
        <v>406.14</v>
      </c>
      <c r="H273" s="7">
        <v>4</v>
      </c>
      <c r="I273" s="10">
        <f t="shared" si="8"/>
        <v>0.26945940925134682</v>
      </c>
      <c r="J273" s="7" t="str">
        <f t="shared" si="9"/>
        <v>Medium</v>
      </c>
    </row>
    <row r="274" spans="1:10" x14ac:dyDescent="0.3">
      <c r="A274" s="7" t="s">
        <v>415</v>
      </c>
      <c r="B274" s="8" t="s">
        <v>416</v>
      </c>
      <c r="C274" s="7" t="s">
        <v>32</v>
      </c>
      <c r="D274" s="7" t="s">
        <v>60</v>
      </c>
      <c r="E274" s="7" t="s">
        <v>28</v>
      </c>
      <c r="F274" s="9">
        <v>382.24</v>
      </c>
      <c r="G274" s="9">
        <v>153.12</v>
      </c>
      <c r="H274" s="7">
        <v>1</v>
      </c>
      <c r="I274" s="10">
        <f t="shared" si="8"/>
        <v>0.40058601925491838</v>
      </c>
      <c r="J274" s="7" t="str">
        <f t="shared" si="9"/>
        <v>Low</v>
      </c>
    </row>
    <row r="275" spans="1:10" x14ac:dyDescent="0.3">
      <c r="A275" s="7" t="s">
        <v>417</v>
      </c>
      <c r="B275" s="8" t="s">
        <v>416</v>
      </c>
      <c r="C275" s="7" t="s">
        <v>20</v>
      </c>
      <c r="D275" s="7" t="s">
        <v>34</v>
      </c>
      <c r="E275" s="7" t="s">
        <v>24</v>
      </c>
      <c r="F275" s="9">
        <v>690.76</v>
      </c>
      <c r="G275" s="9">
        <v>123.65</v>
      </c>
      <c r="H275" s="7">
        <v>2</v>
      </c>
      <c r="I275" s="10">
        <f t="shared" si="8"/>
        <v>0.17900573281602875</v>
      </c>
      <c r="J275" s="7" t="str">
        <f t="shared" si="9"/>
        <v>Low</v>
      </c>
    </row>
    <row r="276" spans="1:10" x14ac:dyDescent="0.3">
      <c r="A276" s="7" t="s">
        <v>418</v>
      </c>
      <c r="B276" s="8" t="s">
        <v>416</v>
      </c>
      <c r="C276" s="7" t="s">
        <v>22</v>
      </c>
      <c r="D276" s="7" t="s">
        <v>43</v>
      </c>
      <c r="E276" s="7" t="s">
        <v>24</v>
      </c>
      <c r="F276" s="9">
        <v>311.10000000000002</v>
      </c>
      <c r="G276" s="9">
        <v>70.52</v>
      </c>
      <c r="H276" s="7">
        <v>3</v>
      </c>
      <c r="I276" s="10">
        <f t="shared" si="8"/>
        <v>0.22667952426872384</v>
      </c>
      <c r="J276" s="7" t="str">
        <f t="shared" si="9"/>
        <v>Low</v>
      </c>
    </row>
    <row r="277" spans="1:10" x14ac:dyDescent="0.3">
      <c r="A277" s="7" t="s">
        <v>419</v>
      </c>
      <c r="B277" s="8" t="s">
        <v>416</v>
      </c>
      <c r="C277" s="7" t="s">
        <v>22</v>
      </c>
      <c r="D277" s="7" t="s">
        <v>57</v>
      </c>
      <c r="E277" s="7" t="s">
        <v>18</v>
      </c>
      <c r="F277" s="9">
        <v>711.68</v>
      </c>
      <c r="G277" s="9">
        <v>221.64</v>
      </c>
      <c r="H277" s="7">
        <v>4</v>
      </c>
      <c r="I277" s="10">
        <f t="shared" si="8"/>
        <v>0.31143210431654678</v>
      </c>
      <c r="J277" s="7" t="str">
        <f t="shared" si="9"/>
        <v>Low</v>
      </c>
    </row>
    <row r="278" spans="1:10" x14ac:dyDescent="0.3">
      <c r="A278" s="7" t="s">
        <v>420</v>
      </c>
      <c r="B278" s="8" t="s">
        <v>421</v>
      </c>
      <c r="C278" s="7" t="s">
        <v>22</v>
      </c>
      <c r="D278" s="7" t="s">
        <v>23</v>
      </c>
      <c r="E278" s="7" t="s">
        <v>24</v>
      </c>
      <c r="F278" s="9">
        <v>196.38</v>
      </c>
      <c r="G278" s="9">
        <v>51.19</v>
      </c>
      <c r="H278" s="7">
        <v>2</v>
      </c>
      <c r="I278" s="10">
        <f t="shared" si="8"/>
        <v>0.26066809247377531</v>
      </c>
      <c r="J278" s="7" t="str">
        <f t="shared" si="9"/>
        <v>Low</v>
      </c>
    </row>
    <row r="279" spans="1:10" x14ac:dyDescent="0.3">
      <c r="A279" s="7" t="s">
        <v>422</v>
      </c>
      <c r="B279" s="8" t="s">
        <v>421</v>
      </c>
      <c r="C279" s="7" t="s">
        <v>20</v>
      </c>
      <c r="D279" s="7" t="s">
        <v>70</v>
      </c>
      <c r="E279" s="7" t="s">
        <v>14</v>
      </c>
      <c r="F279" s="9">
        <v>1034.52</v>
      </c>
      <c r="G279" s="9">
        <v>226.2</v>
      </c>
      <c r="H279" s="7">
        <v>3</v>
      </c>
      <c r="I279" s="10">
        <f t="shared" si="8"/>
        <v>0.21865212852337315</v>
      </c>
      <c r="J279" s="7" t="str">
        <f t="shared" si="9"/>
        <v>Low</v>
      </c>
    </row>
    <row r="280" spans="1:10" x14ac:dyDescent="0.3">
      <c r="A280" s="7" t="s">
        <v>423</v>
      </c>
      <c r="B280" s="8" t="s">
        <v>424</v>
      </c>
      <c r="C280" s="7" t="s">
        <v>22</v>
      </c>
      <c r="D280" s="7" t="s">
        <v>112</v>
      </c>
      <c r="E280" s="7" t="s">
        <v>14</v>
      </c>
      <c r="F280" s="9">
        <v>400.69</v>
      </c>
      <c r="G280" s="9">
        <v>132.41</v>
      </c>
      <c r="H280" s="7">
        <v>1</v>
      </c>
      <c r="I280" s="10">
        <f t="shared" si="8"/>
        <v>0.33045496518505579</v>
      </c>
      <c r="J280" s="7" t="str">
        <f t="shared" si="9"/>
        <v>Low</v>
      </c>
    </row>
    <row r="281" spans="1:10" x14ac:dyDescent="0.3">
      <c r="A281" s="7" t="s">
        <v>425</v>
      </c>
      <c r="B281" s="8" t="s">
        <v>424</v>
      </c>
      <c r="C281" s="7" t="s">
        <v>32</v>
      </c>
      <c r="D281" s="7" t="s">
        <v>23</v>
      </c>
      <c r="E281" s="7" t="s">
        <v>24</v>
      </c>
      <c r="F281" s="9">
        <v>412.76</v>
      </c>
      <c r="G281" s="9">
        <v>130.21</v>
      </c>
      <c r="H281" s="7">
        <v>4</v>
      </c>
      <c r="I281" s="10">
        <f t="shared" si="8"/>
        <v>0.31546176955131316</v>
      </c>
      <c r="J281" s="7" t="str">
        <f t="shared" si="9"/>
        <v>Low</v>
      </c>
    </row>
    <row r="282" spans="1:10" x14ac:dyDescent="0.3">
      <c r="A282" s="7" t="s">
        <v>426</v>
      </c>
      <c r="B282" s="8" t="s">
        <v>424</v>
      </c>
      <c r="C282" s="7" t="s">
        <v>32</v>
      </c>
      <c r="D282" s="7" t="s">
        <v>74</v>
      </c>
      <c r="E282" s="7" t="s">
        <v>18</v>
      </c>
      <c r="F282" s="9">
        <v>234.98</v>
      </c>
      <c r="G282" s="9">
        <v>37.75</v>
      </c>
      <c r="H282" s="7">
        <v>1</v>
      </c>
      <c r="I282" s="10">
        <f t="shared" si="8"/>
        <v>0.16065197038045792</v>
      </c>
      <c r="J282" s="7" t="str">
        <f t="shared" si="9"/>
        <v>Low</v>
      </c>
    </row>
    <row r="283" spans="1:10" x14ac:dyDescent="0.3">
      <c r="A283" s="7" t="s">
        <v>427</v>
      </c>
      <c r="B283" s="8" t="s">
        <v>424</v>
      </c>
      <c r="C283" s="7" t="s">
        <v>12</v>
      </c>
      <c r="D283" s="7" t="s">
        <v>74</v>
      </c>
      <c r="E283" s="7" t="s">
        <v>18</v>
      </c>
      <c r="F283" s="9">
        <v>227.38</v>
      </c>
      <c r="G283" s="9">
        <v>26.1</v>
      </c>
      <c r="H283" s="7">
        <v>1</v>
      </c>
      <c r="I283" s="10">
        <f t="shared" si="8"/>
        <v>0.11478582109244438</v>
      </c>
      <c r="J283" s="7" t="str">
        <f t="shared" si="9"/>
        <v>Low</v>
      </c>
    </row>
    <row r="284" spans="1:10" x14ac:dyDescent="0.3">
      <c r="A284" s="7" t="s">
        <v>428</v>
      </c>
      <c r="B284" s="8" t="s">
        <v>424</v>
      </c>
      <c r="C284" s="7" t="s">
        <v>12</v>
      </c>
      <c r="D284" s="7" t="s">
        <v>57</v>
      </c>
      <c r="E284" s="7" t="s">
        <v>18</v>
      </c>
      <c r="F284" s="9">
        <v>162.32</v>
      </c>
      <c r="G284" s="9">
        <v>42.45</v>
      </c>
      <c r="H284" s="7">
        <v>1</v>
      </c>
      <c r="I284" s="10">
        <f t="shared" si="8"/>
        <v>0.2615204534253327</v>
      </c>
      <c r="J284" s="7" t="str">
        <f t="shared" si="9"/>
        <v>Low</v>
      </c>
    </row>
    <row r="285" spans="1:10" x14ac:dyDescent="0.3">
      <c r="A285" s="7" t="s">
        <v>429</v>
      </c>
      <c r="B285" s="8" t="s">
        <v>430</v>
      </c>
      <c r="C285" s="7" t="s">
        <v>22</v>
      </c>
      <c r="D285" s="7" t="s">
        <v>41</v>
      </c>
      <c r="E285" s="7" t="s">
        <v>28</v>
      </c>
      <c r="F285" s="9">
        <v>1095.08</v>
      </c>
      <c r="G285" s="9">
        <v>456.71</v>
      </c>
      <c r="H285" s="7">
        <v>4</v>
      </c>
      <c r="I285" s="10">
        <f t="shared" si="8"/>
        <v>0.41705628812506851</v>
      </c>
      <c r="J285" s="7" t="str">
        <f t="shared" si="9"/>
        <v>Low</v>
      </c>
    </row>
    <row r="286" spans="1:10" x14ac:dyDescent="0.3">
      <c r="A286" s="7" t="s">
        <v>431</v>
      </c>
      <c r="B286" s="8" t="s">
        <v>430</v>
      </c>
      <c r="C286" s="7" t="s">
        <v>32</v>
      </c>
      <c r="D286" s="7" t="s">
        <v>17</v>
      </c>
      <c r="E286" s="7" t="s">
        <v>18</v>
      </c>
      <c r="F286" s="9">
        <v>1162.95</v>
      </c>
      <c r="G286" s="9">
        <v>364.8</v>
      </c>
      <c r="H286" s="7">
        <v>3</v>
      </c>
      <c r="I286" s="10">
        <f t="shared" si="8"/>
        <v>0.31368502515155422</v>
      </c>
      <c r="J286" s="7" t="str">
        <f t="shared" si="9"/>
        <v>Low</v>
      </c>
    </row>
    <row r="287" spans="1:10" x14ac:dyDescent="0.3">
      <c r="A287" s="7" t="s">
        <v>432</v>
      </c>
      <c r="B287" s="8" t="s">
        <v>430</v>
      </c>
      <c r="C287" s="7" t="s">
        <v>12</v>
      </c>
      <c r="D287" s="7" t="s">
        <v>112</v>
      </c>
      <c r="E287" s="7" t="s">
        <v>14</v>
      </c>
      <c r="F287" s="9">
        <v>2214.15</v>
      </c>
      <c r="G287" s="9">
        <v>880.99</v>
      </c>
      <c r="H287" s="7">
        <v>5</v>
      </c>
      <c r="I287" s="10">
        <f t="shared" si="8"/>
        <v>0.39789083847074497</v>
      </c>
      <c r="J287" s="7" t="str">
        <f t="shared" si="9"/>
        <v>Medium</v>
      </c>
    </row>
    <row r="288" spans="1:10" x14ac:dyDescent="0.3">
      <c r="A288" s="7" t="s">
        <v>433</v>
      </c>
      <c r="B288" s="8" t="s">
        <v>430</v>
      </c>
      <c r="C288" s="7" t="s">
        <v>12</v>
      </c>
      <c r="D288" s="7" t="s">
        <v>60</v>
      </c>
      <c r="E288" s="7" t="s">
        <v>28</v>
      </c>
      <c r="F288" s="9">
        <v>379.05</v>
      </c>
      <c r="G288" s="9">
        <v>150.16</v>
      </c>
      <c r="H288" s="7">
        <v>1</v>
      </c>
      <c r="I288" s="10">
        <f t="shared" si="8"/>
        <v>0.39614826540034292</v>
      </c>
      <c r="J288" s="7" t="str">
        <f t="shared" si="9"/>
        <v>Low</v>
      </c>
    </row>
    <row r="289" spans="1:10" x14ac:dyDescent="0.3">
      <c r="A289" s="7" t="s">
        <v>434</v>
      </c>
      <c r="B289" s="8" t="s">
        <v>435</v>
      </c>
      <c r="C289" s="7" t="s">
        <v>22</v>
      </c>
      <c r="D289" s="7" t="s">
        <v>89</v>
      </c>
      <c r="E289" s="7" t="s">
        <v>24</v>
      </c>
      <c r="F289" s="9">
        <v>586.70000000000005</v>
      </c>
      <c r="G289" s="9">
        <v>153.06</v>
      </c>
      <c r="H289" s="7">
        <v>2</v>
      </c>
      <c r="I289" s="10">
        <f t="shared" si="8"/>
        <v>0.26088290438043293</v>
      </c>
      <c r="J289" s="7" t="str">
        <f t="shared" si="9"/>
        <v>Low</v>
      </c>
    </row>
    <row r="290" spans="1:10" x14ac:dyDescent="0.3">
      <c r="A290" s="7" t="s">
        <v>436</v>
      </c>
      <c r="B290" s="8" t="s">
        <v>435</v>
      </c>
      <c r="C290" s="7" t="s">
        <v>32</v>
      </c>
      <c r="D290" s="7" t="s">
        <v>112</v>
      </c>
      <c r="E290" s="7" t="s">
        <v>14</v>
      </c>
      <c r="F290" s="9">
        <v>1778.08</v>
      </c>
      <c r="G290" s="9">
        <v>637.67999999999995</v>
      </c>
      <c r="H290" s="7">
        <v>4</v>
      </c>
      <c r="I290" s="10">
        <f t="shared" si="8"/>
        <v>0.3586340322145235</v>
      </c>
      <c r="J290" s="7" t="str">
        <f t="shared" si="9"/>
        <v>Medium</v>
      </c>
    </row>
    <row r="291" spans="1:10" x14ac:dyDescent="0.3">
      <c r="A291" s="7" t="s">
        <v>437</v>
      </c>
      <c r="B291" s="8" t="s">
        <v>435</v>
      </c>
      <c r="C291" s="7" t="s">
        <v>20</v>
      </c>
      <c r="D291" s="7" t="s">
        <v>254</v>
      </c>
      <c r="E291" s="7" t="s">
        <v>24</v>
      </c>
      <c r="F291" s="9">
        <v>57.54</v>
      </c>
      <c r="G291" s="9">
        <v>23.11</v>
      </c>
      <c r="H291" s="7">
        <v>3</v>
      </c>
      <c r="I291" s="10">
        <f t="shared" si="8"/>
        <v>0.40163364615919361</v>
      </c>
      <c r="J291" s="7" t="str">
        <f t="shared" si="9"/>
        <v>Low</v>
      </c>
    </row>
    <row r="292" spans="1:10" x14ac:dyDescent="0.3">
      <c r="A292" s="7" t="s">
        <v>438</v>
      </c>
      <c r="B292" s="8" t="s">
        <v>439</v>
      </c>
      <c r="C292" s="7" t="s">
        <v>32</v>
      </c>
      <c r="D292" s="7" t="s">
        <v>54</v>
      </c>
      <c r="E292" s="7" t="s">
        <v>28</v>
      </c>
      <c r="F292" s="9">
        <v>391.89</v>
      </c>
      <c r="G292" s="9">
        <v>141.33000000000001</v>
      </c>
      <c r="H292" s="7">
        <v>3</v>
      </c>
      <c r="I292" s="10">
        <f t="shared" si="8"/>
        <v>0.36063691341958209</v>
      </c>
      <c r="J292" s="7" t="str">
        <f t="shared" si="9"/>
        <v>Low</v>
      </c>
    </row>
    <row r="293" spans="1:10" x14ac:dyDescent="0.3">
      <c r="A293" s="7" t="s">
        <v>440</v>
      </c>
      <c r="B293" s="8" t="s">
        <v>439</v>
      </c>
      <c r="C293" s="7" t="s">
        <v>22</v>
      </c>
      <c r="D293" s="7" t="s">
        <v>38</v>
      </c>
      <c r="E293" s="7" t="s">
        <v>18</v>
      </c>
      <c r="F293" s="9">
        <v>802.7</v>
      </c>
      <c r="G293" s="9">
        <v>243.6</v>
      </c>
      <c r="H293" s="7">
        <v>2</v>
      </c>
      <c r="I293" s="10">
        <f t="shared" si="8"/>
        <v>0.30347576927868442</v>
      </c>
      <c r="J293" s="7" t="str">
        <f t="shared" si="9"/>
        <v>Low</v>
      </c>
    </row>
    <row r="294" spans="1:10" x14ac:dyDescent="0.3">
      <c r="A294" s="7" t="s">
        <v>441</v>
      </c>
      <c r="B294" s="8" t="s">
        <v>439</v>
      </c>
      <c r="C294" s="7" t="s">
        <v>20</v>
      </c>
      <c r="D294" s="7" t="s">
        <v>17</v>
      </c>
      <c r="E294" s="7" t="s">
        <v>18</v>
      </c>
      <c r="F294" s="9">
        <v>361.77</v>
      </c>
      <c r="G294" s="9">
        <v>87.39</v>
      </c>
      <c r="H294" s="7">
        <v>1</v>
      </c>
      <c r="I294" s="10">
        <f t="shared" si="8"/>
        <v>0.24156231860021563</v>
      </c>
      <c r="J294" s="7" t="str">
        <f t="shared" si="9"/>
        <v>Low</v>
      </c>
    </row>
    <row r="295" spans="1:10" x14ac:dyDescent="0.3">
      <c r="A295" s="7" t="s">
        <v>442</v>
      </c>
      <c r="B295" s="8" t="s">
        <v>443</v>
      </c>
      <c r="C295" s="7" t="s">
        <v>12</v>
      </c>
      <c r="D295" s="7" t="s">
        <v>38</v>
      </c>
      <c r="E295" s="7" t="s">
        <v>18</v>
      </c>
      <c r="F295" s="9">
        <v>725.32</v>
      </c>
      <c r="G295" s="9">
        <v>179.34</v>
      </c>
      <c r="H295" s="7">
        <v>2</v>
      </c>
      <c r="I295" s="10">
        <f t="shared" si="8"/>
        <v>0.24725638338940054</v>
      </c>
      <c r="J295" s="7" t="str">
        <f t="shared" si="9"/>
        <v>Low</v>
      </c>
    </row>
    <row r="296" spans="1:10" x14ac:dyDescent="0.3">
      <c r="A296" s="7" t="s">
        <v>444</v>
      </c>
      <c r="B296" s="8" t="s">
        <v>443</v>
      </c>
      <c r="C296" s="7" t="s">
        <v>32</v>
      </c>
      <c r="D296" s="7" t="s">
        <v>89</v>
      </c>
      <c r="E296" s="7" t="s">
        <v>24</v>
      </c>
      <c r="F296" s="9">
        <v>301.85000000000002</v>
      </c>
      <c r="G296" s="9">
        <v>99.45</v>
      </c>
      <c r="H296" s="7">
        <v>1</v>
      </c>
      <c r="I296" s="10">
        <f t="shared" si="8"/>
        <v>0.32946827894649661</v>
      </c>
      <c r="J296" s="7" t="str">
        <f t="shared" si="9"/>
        <v>Low</v>
      </c>
    </row>
    <row r="297" spans="1:10" x14ac:dyDescent="0.3">
      <c r="A297" s="7" t="s">
        <v>445</v>
      </c>
      <c r="B297" s="8" t="s">
        <v>446</v>
      </c>
      <c r="C297" s="7" t="s">
        <v>20</v>
      </c>
      <c r="D297" s="7" t="s">
        <v>70</v>
      </c>
      <c r="E297" s="7" t="s">
        <v>14</v>
      </c>
      <c r="F297" s="9">
        <v>374.83</v>
      </c>
      <c r="G297" s="9">
        <v>100.79</v>
      </c>
      <c r="H297" s="7">
        <v>1</v>
      </c>
      <c r="I297" s="10">
        <f t="shared" si="8"/>
        <v>0.26889523250540248</v>
      </c>
      <c r="J297" s="7" t="str">
        <f t="shared" si="9"/>
        <v>Low</v>
      </c>
    </row>
    <row r="298" spans="1:10" x14ac:dyDescent="0.3">
      <c r="A298" s="7" t="s">
        <v>447</v>
      </c>
      <c r="B298" s="8" t="s">
        <v>446</v>
      </c>
      <c r="C298" s="7" t="s">
        <v>12</v>
      </c>
      <c r="D298" s="7" t="s">
        <v>79</v>
      </c>
      <c r="E298" s="7" t="s">
        <v>14</v>
      </c>
      <c r="F298" s="9">
        <v>590.28</v>
      </c>
      <c r="G298" s="9">
        <v>220.02</v>
      </c>
      <c r="H298" s="7">
        <v>4</v>
      </c>
      <c r="I298" s="10">
        <f t="shared" si="8"/>
        <v>0.37273836145558042</v>
      </c>
      <c r="J298" s="7" t="str">
        <f t="shared" si="9"/>
        <v>Low</v>
      </c>
    </row>
    <row r="299" spans="1:10" x14ac:dyDescent="0.3">
      <c r="A299" s="7" t="s">
        <v>448</v>
      </c>
      <c r="B299" s="8" t="s">
        <v>446</v>
      </c>
      <c r="C299" s="7" t="s">
        <v>32</v>
      </c>
      <c r="D299" s="7" t="s">
        <v>74</v>
      </c>
      <c r="E299" s="7" t="s">
        <v>18</v>
      </c>
      <c r="F299" s="9">
        <v>481.16</v>
      </c>
      <c r="G299" s="9">
        <v>71.150000000000006</v>
      </c>
      <c r="H299" s="7">
        <v>2</v>
      </c>
      <c r="I299" s="10">
        <f t="shared" si="8"/>
        <v>0.14787180979300024</v>
      </c>
      <c r="J299" s="7" t="str">
        <f t="shared" si="9"/>
        <v>Low</v>
      </c>
    </row>
    <row r="300" spans="1:10" x14ac:dyDescent="0.3">
      <c r="A300" s="7" t="s">
        <v>449</v>
      </c>
      <c r="B300" s="8" t="s">
        <v>446</v>
      </c>
      <c r="C300" s="7" t="s">
        <v>12</v>
      </c>
      <c r="D300" s="7" t="s">
        <v>13</v>
      </c>
      <c r="E300" s="7" t="s">
        <v>14</v>
      </c>
      <c r="F300" s="9">
        <v>356.8</v>
      </c>
      <c r="G300" s="9">
        <v>82.95</v>
      </c>
      <c r="H300" s="7">
        <v>1</v>
      </c>
      <c r="I300" s="10">
        <f t="shared" si="8"/>
        <v>0.23248318385650224</v>
      </c>
      <c r="J300" s="7" t="str">
        <f t="shared" si="9"/>
        <v>Low</v>
      </c>
    </row>
    <row r="301" spans="1:10" x14ac:dyDescent="0.3">
      <c r="A301" s="7" t="s">
        <v>450</v>
      </c>
      <c r="B301" s="8" t="s">
        <v>451</v>
      </c>
      <c r="C301" s="7" t="s">
        <v>20</v>
      </c>
      <c r="D301" s="7" t="s">
        <v>74</v>
      </c>
      <c r="E301" s="7" t="s">
        <v>18</v>
      </c>
      <c r="F301" s="9">
        <v>471.68</v>
      </c>
      <c r="G301" s="9">
        <v>48</v>
      </c>
      <c r="H301" s="7">
        <v>2</v>
      </c>
      <c r="I301" s="10">
        <f t="shared" si="8"/>
        <v>0.10176390773405698</v>
      </c>
      <c r="J301" s="7" t="str">
        <f t="shared" si="9"/>
        <v>Low</v>
      </c>
    </row>
    <row r="302" spans="1:10" x14ac:dyDescent="0.3">
      <c r="A302" s="7" t="s">
        <v>452</v>
      </c>
      <c r="B302" s="8" t="s">
        <v>451</v>
      </c>
      <c r="C302" s="7" t="s">
        <v>22</v>
      </c>
      <c r="D302" s="7" t="s">
        <v>57</v>
      </c>
      <c r="E302" s="7" t="s">
        <v>18</v>
      </c>
      <c r="F302" s="9">
        <v>1042.74</v>
      </c>
      <c r="G302" s="9">
        <v>317.48</v>
      </c>
      <c r="H302" s="7">
        <v>6</v>
      </c>
      <c r="I302" s="10">
        <f t="shared" si="8"/>
        <v>0.30446707712373172</v>
      </c>
      <c r="J302" s="7" t="str">
        <f t="shared" si="9"/>
        <v>Low</v>
      </c>
    </row>
    <row r="303" spans="1:10" x14ac:dyDescent="0.3">
      <c r="A303" s="7" t="s">
        <v>453</v>
      </c>
      <c r="B303" s="8" t="s">
        <v>451</v>
      </c>
      <c r="C303" s="7" t="s">
        <v>20</v>
      </c>
      <c r="D303" s="7" t="s">
        <v>54</v>
      </c>
      <c r="E303" s="7" t="s">
        <v>28</v>
      </c>
      <c r="F303" s="9">
        <v>265.7</v>
      </c>
      <c r="G303" s="9">
        <v>100.44</v>
      </c>
      <c r="H303" s="7">
        <v>2</v>
      </c>
      <c r="I303" s="10">
        <f t="shared" si="8"/>
        <v>0.37802032367331578</v>
      </c>
      <c r="J303" s="7" t="str">
        <f t="shared" si="9"/>
        <v>Low</v>
      </c>
    </row>
    <row r="304" spans="1:10" x14ac:dyDescent="0.3">
      <c r="A304" s="7" t="s">
        <v>454</v>
      </c>
      <c r="B304" s="8" t="s">
        <v>455</v>
      </c>
      <c r="C304" s="7" t="s">
        <v>22</v>
      </c>
      <c r="D304" s="7" t="s">
        <v>74</v>
      </c>
      <c r="E304" s="7" t="s">
        <v>18</v>
      </c>
      <c r="F304" s="9">
        <v>1131.6500000000001</v>
      </c>
      <c r="G304" s="9">
        <v>131.93</v>
      </c>
      <c r="H304" s="7">
        <v>5</v>
      </c>
      <c r="I304" s="10">
        <f t="shared" si="8"/>
        <v>0.11658198206159148</v>
      </c>
      <c r="J304" s="7" t="str">
        <f t="shared" si="9"/>
        <v>Low</v>
      </c>
    </row>
    <row r="305" spans="1:10" x14ac:dyDescent="0.3">
      <c r="A305" s="7" t="s">
        <v>456</v>
      </c>
      <c r="B305" s="8" t="s">
        <v>455</v>
      </c>
      <c r="C305" s="7" t="s">
        <v>20</v>
      </c>
      <c r="D305" s="7" t="s">
        <v>60</v>
      </c>
      <c r="E305" s="7" t="s">
        <v>28</v>
      </c>
      <c r="F305" s="9">
        <v>1504.56</v>
      </c>
      <c r="G305" s="9">
        <v>563.09</v>
      </c>
      <c r="H305" s="7">
        <v>4</v>
      </c>
      <c r="I305" s="10">
        <f t="shared" si="8"/>
        <v>0.37425559632051897</v>
      </c>
      <c r="J305" s="7" t="str">
        <f t="shared" si="9"/>
        <v>Medium</v>
      </c>
    </row>
    <row r="306" spans="1:10" x14ac:dyDescent="0.3">
      <c r="A306" s="7" t="s">
        <v>457</v>
      </c>
      <c r="B306" s="8" t="s">
        <v>458</v>
      </c>
      <c r="C306" s="7" t="s">
        <v>32</v>
      </c>
      <c r="D306" s="7" t="s">
        <v>79</v>
      </c>
      <c r="E306" s="7" t="s">
        <v>14</v>
      </c>
      <c r="F306" s="9">
        <v>936.36</v>
      </c>
      <c r="G306" s="9">
        <v>375.67</v>
      </c>
      <c r="H306" s="7">
        <v>6</v>
      </c>
      <c r="I306" s="10">
        <f t="shared" si="8"/>
        <v>0.40120252894185998</v>
      </c>
      <c r="J306" s="7" t="str">
        <f t="shared" si="9"/>
        <v>Low</v>
      </c>
    </row>
    <row r="307" spans="1:10" x14ac:dyDescent="0.3">
      <c r="A307" s="7" t="s">
        <v>459</v>
      </c>
      <c r="B307" s="8" t="s">
        <v>458</v>
      </c>
      <c r="C307" s="7" t="s">
        <v>12</v>
      </c>
      <c r="D307" s="7" t="s">
        <v>17</v>
      </c>
      <c r="E307" s="7" t="s">
        <v>18</v>
      </c>
      <c r="F307" s="9">
        <v>1150.71</v>
      </c>
      <c r="G307" s="9">
        <v>292.02</v>
      </c>
      <c r="H307" s="7">
        <v>3</v>
      </c>
      <c r="I307" s="10">
        <f t="shared" si="8"/>
        <v>0.2537737570717209</v>
      </c>
      <c r="J307" s="7" t="str">
        <f t="shared" si="9"/>
        <v>Low</v>
      </c>
    </row>
    <row r="308" spans="1:10" x14ac:dyDescent="0.3">
      <c r="A308" s="7" t="s">
        <v>460</v>
      </c>
      <c r="B308" s="8" t="s">
        <v>461</v>
      </c>
      <c r="C308" s="7" t="s">
        <v>22</v>
      </c>
      <c r="D308" s="7" t="s">
        <v>57</v>
      </c>
      <c r="E308" s="7" t="s">
        <v>18</v>
      </c>
      <c r="F308" s="9">
        <v>341.96</v>
      </c>
      <c r="G308" s="9">
        <v>84.88</v>
      </c>
      <c r="H308" s="7">
        <v>2</v>
      </c>
      <c r="I308" s="10">
        <f t="shared" si="8"/>
        <v>0.24821616563340743</v>
      </c>
      <c r="J308" s="7" t="str">
        <f t="shared" si="9"/>
        <v>Low</v>
      </c>
    </row>
    <row r="309" spans="1:10" x14ac:dyDescent="0.3">
      <c r="A309" s="7" t="s">
        <v>462</v>
      </c>
      <c r="B309" s="8" t="s">
        <v>463</v>
      </c>
      <c r="C309" s="7" t="s">
        <v>12</v>
      </c>
      <c r="D309" s="7" t="s">
        <v>79</v>
      </c>
      <c r="E309" s="7" t="s">
        <v>14</v>
      </c>
      <c r="F309" s="9">
        <v>467.64</v>
      </c>
      <c r="G309" s="9">
        <v>176.4</v>
      </c>
      <c r="H309" s="7">
        <v>3</v>
      </c>
      <c r="I309" s="10">
        <f t="shared" si="8"/>
        <v>0.37721324095458048</v>
      </c>
      <c r="J309" s="7" t="str">
        <f t="shared" si="9"/>
        <v>Low</v>
      </c>
    </row>
    <row r="310" spans="1:10" x14ac:dyDescent="0.3">
      <c r="A310" s="7" t="s">
        <v>464</v>
      </c>
      <c r="B310" s="8" t="s">
        <v>463</v>
      </c>
      <c r="C310" s="7" t="s">
        <v>20</v>
      </c>
      <c r="D310" s="7" t="s">
        <v>41</v>
      </c>
      <c r="E310" s="7" t="s">
        <v>28</v>
      </c>
      <c r="F310" s="9">
        <v>1651.62</v>
      </c>
      <c r="G310" s="9">
        <v>680.29</v>
      </c>
      <c r="H310" s="7">
        <v>6</v>
      </c>
      <c r="I310" s="10">
        <f t="shared" si="8"/>
        <v>0.41189256608663011</v>
      </c>
      <c r="J310" s="7" t="str">
        <f t="shared" si="9"/>
        <v>Medium</v>
      </c>
    </row>
    <row r="311" spans="1:10" x14ac:dyDescent="0.3">
      <c r="A311" s="7" t="s">
        <v>465</v>
      </c>
      <c r="B311" s="8" t="s">
        <v>466</v>
      </c>
      <c r="C311" s="7" t="s">
        <v>32</v>
      </c>
      <c r="D311" s="7" t="s">
        <v>54</v>
      </c>
      <c r="E311" s="7" t="s">
        <v>28</v>
      </c>
      <c r="F311" s="9">
        <v>1334.7</v>
      </c>
      <c r="G311" s="9">
        <v>541.26</v>
      </c>
      <c r="H311" s="7">
        <v>10</v>
      </c>
      <c r="I311" s="10">
        <f t="shared" si="8"/>
        <v>0.40552933243425487</v>
      </c>
      <c r="J311" s="7" t="str">
        <f t="shared" si="9"/>
        <v>Low</v>
      </c>
    </row>
    <row r="312" spans="1:10" x14ac:dyDescent="0.3">
      <c r="A312" s="7" t="s">
        <v>467</v>
      </c>
      <c r="B312" s="8" t="s">
        <v>468</v>
      </c>
      <c r="C312" s="7" t="s">
        <v>22</v>
      </c>
      <c r="D312" s="7" t="s">
        <v>60</v>
      </c>
      <c r="E312" s="7" t="s">
        <v>28</v>
      </c>
      <c r="F312" s="9">
        <v>409.81</v>
      </c>
      <c r="G312" s="9">
        <v>188.55</v>
      </c>
      <c r="H312" s="7">
        <v>1</v>
      </c>
      <c r="I312" s="10">
        <f t="shared" si="8"/>
        <v>0.46009126180425075</v>
      </c>
      <c r="J312" s="7" t="str">
        <f t="shared" si="9"/>
        <v>Low</v>
      </c>
    </row>
    <row r="313" spans="1:10" x14ac:dyDescent="0.3">
      <c r="A313" s="7" t="s">
        <v>469</v>
      </c>
      <c r="B313" s="8" t="s">
        <v>468</v>
      </c>
      <c r="C313" s="7" t="s">
        <v>20</v>
      </c>
      <c r="D313" s="7" t="s">
        <v>70</v>
      </c>
      <c r="E313" s="7" t="s">
        <v>14</v>
      </c>
      <c r="F313" s="9">
        <v>705.16</v>
      </c>
      <c r="G313" s="9">
        <v>155.13999999999999</v>
      </c>
      <c r="H313" s="7">
        <v>2</v>
      </c>
      <c r="I313" s="10">
        <f t="shared" si="8"/>
        <v>0.220006806965795</v>
      </c>
      <c r="J313" s="7" t="str">
        <f t="shared" si="9"/>
        <v>Low</v>
      </c>
    </row>
    <row r="314" spans="1:10" x14ac:dyDescent="0.3">
      <c r="A314" s="7" t="s">
        <v>470</v>
      </c>
      <c r="B314" s="8" t="s">
        <v>468</v>
      </c>
      <c r="C314" s="7" t="s">
        <v>12</v>
      </c>
      <c r="D314" s="7" t="s">
        <v>50</v>
      </c>
      <c r="E314" s="7" t="s">
        <v>14</v>
      </c>
      <c r="F314" s="9">
        <v>150.44999999999999</v>
      </c>
      <c r="G314" s="9">
        <v>63.43</v>
      </c>
      <c r="H314" s="7">
        <v>3</v>
      </c>
      <c r="I314" s="10">
        <f t="shared" si="8"/>
        <v>0.42160186108341646</v>
      </c>
      <c r="J314" s="7" t="str">
        <f t="shared" si="9"/>
        <v>Low</v>
      </c>
    </row>
    <row r="315" spans="1:10" x14ac:dyDescent="0.3">
      <c r="A315" s="7" t="s">
        <v>471</v>
      </c>
      <c r="B315" s="8" t="s">
        <v>472</v>
      </c>
      <c r="C315" s="7" t="s">
        <v>32</v>
      </c>
      <c r="D315" s="7" t="s">
        <v>70</v>
      </c>
      <c r="E315" s="7" t="s">
        <v>14</v>
      </c>
      <c r="F315" s="9">
        <v>1686.35</v>
      </c>
      <c r="G315" s="9">
        <v>344.55</v>
      </c>
      <c r="H315" s="7">
        <v>5</v>
      </c>
      <c r="I315" s="10">
        <f t="shared" si="8"/>
        <v>0.20431701604056099</v>
      </c>
      <c r="J315" s="7" t="str">
        <f t="shared" si="9"/>
        <v>Medium</v>
      </c>
    </row>
    <row r="316" spans="1:10" x14ac:dyDescent="0.3">
      <c r="A316" s="7" t="s">
        <v>473</v>
      </c>
      <c r="B316" s="8" t="s">
        <v>472</v>
      </c>
      <c r="C316" s="7" t="s">
        <v>32</v>
      </c>
      <c r="D316" s="7" t="s">
        <v>34</v>
      </c>
      <c r="E316" s="7" t="s">
        <v>24</v>
      </c>
      <c r="F316" s="9">
        <v>733.78</v>
      </c>
      <c r="G316" s="9">
        <v>162.30000000000001</v>
      </c>
      <c r="H316" s="7">
        <v>2</v>
      </c>
      <c r="I316" s="10">
        <f t="shared" si="8"/>
        <v>0.22118346098285593</v>
      </c>
      <c r="J316" s="7" t="str">
        <f t="shared" si="9"/>
        <v>Low</v>
      </c>
    </row>
    <row r="317" spans="1:10" x14ac:dyDescent="0.3">
      <c r="A317" s="7" t="s">
        <v>474</v>
      </c>
      <c r="B317" s="8" t="s">
        <v>472</v>
      </c>
      <c r="C317" s="7" t="s">
        <v>22</v>
      </c>
      <c r="D317" s="7" t="s">
        <v>17</v>
      </c>
      <c r="E317" s="7" t="s">
        <v>18</v>
      </c>
      <c r="F317" s="9">
        <v>386.42</v>
      </c>
      <c r="G317" s="9">
        <v>97.5</v>
      </c>
      <c r="H317" s="7">
        <v>1</v>
      </c>
      <c r="I317" s="10">
        <f t="shared" si="8"/>
        <v>0.25231613270534653</v>
      </c>
      <c r="J317" s="7" t="str">
        <f t="shared" si="9"/>
        <v>Low</v>
      </c>
    </row>
    <row r="318" spans="1:10" x14ac:dyDescent="0.3">
      <c r="A318" s="7" t="s">
        <v>475</v>
      </c>
      <c r="B318" s="8" t="s">
        <v>472</v>
      </c>
      <c r="C318" s="7" t="s">
        <v>22</v>
      </c>
      <c r="D318" s="7" t="s">
        <v>85</v>
      </c>
      <c r="E318" s="7" t="s">
        <v>24</v>
      </c>
      <c r="F318" s="9">
        <v>342.25</v>
      </c>
      <c r="G318" s="9">
        <v>146.57</v>
      </c>
      <c r="H318" s="7">
        <v>1</v>
      </c>
      <c r="I318" s="10">
        <f t="shared" si="8"/>
        <v>0.428254200146092</v>
      </c>
      <c r="J318" s="7" t="str">
        <f t="shared" si="9"/>
        <v>Low</v>
      </c>
    </row>
    <row r="319" spans="1:10" x14ac:dyDescent="0.3">
      <c r="A319" s="7" t="s">
        <v>476</v>
      </c>
      <c r="B319" s="8" t="s">
        <v>477</v>
      </c>
      <c r="C319" s="7" t="s">
        <v>22</v>
      </c>
      <c r="D319" s="7" t="s">
        <v>38</v>
      </c>
      <c r="E319" s="7" t="s">
        <v>18</v>
      </c>
      <c r="F319" s="9">
        <v>2314.7399999999998</v>
      </c>
      <c r="G319" s="9">
        <v>700.09</v>
      </c>
      <c r="H319" s="7">
        <v>6</v>
      </c>
      <c r="I319" s="10">
        <f t="shared" si="8"/>
        <v>0.30244865514053421</v>
      </c>
      <c r="J319" s="7" t="str">
        <f t="shared" si="9"/>
        <v>Medium</v>
      </c>
    </row>
    <row r="320" spans="1:10" x14ac:dyDescent="0.3">
      <c r="A320" s="7" t="s">
        <v>478</v>
      </c>
      <c r="B320" s="8" t="s">
        <v>477</v>
      </c>
      <c r="C320" s="7" t="s">
        <v>32</v>
      </c>
      <c r="D320" s="7" t="s">
        <v>85</v>
      </c>
      <c r="E320" s="7" t="s">
        <v>24</v>
      </c>
      <c r="F320" s="9">
        <v>717.6</v>
      </c>
      <c r="G320" s="9">
        <v>321.74</v>
      </c>
      <c r="H320" s="7">
        <v>2</v>
      </c>
      <c r="I320" s="10">
        <f t="shared" si="8"/>
        <v>0.44835562987736899</v>
      </c>
      <c r="J320" s="7" t="str">
        <f t="shared" si="9"/>
        <v>Low</v>
      </c>
    </row>
    <row r="321" spans="1:10" x14ac:dyDescent="0.3">
      <c r="A321" s="7" t="s">
        <v>479</v>
      </c>
      <c r="B321" s="8" t="s">
        <v>480</v>
      </c>
      <c r="C321" s="7" t="s">
        <v>20</v>
      </c>
      <c r="D321" s="7" t="s">
        <v>38</v>
      </c>
      <c r="E321" s="7" t="s">
        <v>18</v>
      </c>
      <c r="F321" s="9">
        <v>793.74</v>
      </c>
      <c r="G321" s="9">
        <v>257.73</v>
      </c>
      <c r="H321" s="7">
        <v>2</v>
      </c>
      <c r="I321" s="10">
        <f t="shared" si="8"/>
        <v>0.32470330334870362</v>
      </c>
      <c r="J321" s="7" t="str">
        <f t="shared" si="9"/>
        <v>Low</v>
      </c>
    </row>
    <row r="322" spans="1:10" x14ac:dyDescent="0.3">
      <c r="A322" s="7" t="s">
        <v>481</v>
      </c>
      <c r="B322" s="8" t="s">
        <v>480</v>
      </c>
      <c r="C322" s="7" t="s">
        <v>32</v>
      </c>
      <c r="D322" s="7" t="s">
        <v>43</v>
      </c>
      <c r="E322" s="7" t="s">
        <v>24</v>
      </c>
      <c r="F322" s="9">
        <v>624</v>
      </c>
      <c r="G322" s="9">
        <v>161</v>
      </c>
      <c r="H322" s="7">
        <v>6</v>
      </c>
      <c r="I322" s="10">
        <f t="shared" ref="I322:I385" si="10">IFERROR(G322/F322,0)</f>
        <v>0.25801282051282054</v>
      </c>
      <c r="J322" s="7" t="str">
        <f t="shared" ref="J322:J385" si="11">IF(F322&gt;5000,"High",IF(F322&gt;1500,"Medium","Low"))</f>
        <v>Low</v>
      </c>
    </row>
    <row r="323" spans="1:10" x14ac:dyDescent="0.3">
      <c r="A323" s="7" t="s">
        <v>482</v>
      </c>
      <c r="B323" s="8" t="s">
        <v>480</v>
      </c>
      <c r="C323" s="7" t="s">
        <v>20</v>
      </c>
      <c r="D323" s="7" t="s">
        <v>38</v>
      </c>
      <c r="E323" s="7" t="s">
        <v>18</v>
      </c>
      <c r="F323" s="9">
        <v>731.92</v>
      </c>
      <c r="G323" s="9">
        <v>150.82</v>
      </c>
      <c r="H323" s="7">
        <v>2</v>
      </c>
      <c r="I323" s="10">
        <f t="shared" si="10"/>
        <v>0.20606077166903486</v>
      </c>
      <c r="J323" s="7" t="str">
        <f t="shared" si="11"/>
        <v>Low</v>
      </c>
    </row>
    <row r="324" spans="1:10" x14ac:dyDescent="0.3">
      <c r="A324" s="7" t="s">
        <v>483</v>
      </c>
      <c r="B324" s="8" t="s">
        <v>484</v>
      </c>
      <c r="C324" s="7" t="s">
        <v>20</v>
      </c>
      <c r="D324" s="7" t="s">
        <v>41</v>
      </c>
      <c r="E324" s="7" t="s">
        <v>28</v>
      </c>
      <c r="F324" s="9">
        <v>864.99</v>
      </c>
      <c r="G324" s="9">
        <v>357.92</v>
      </c>
      <c r="H324" s="7">
        <v>3</v>
      </c>
      <c r="I324" s="10">
        <f t="shared" si="10"/>
        <v>0.413785130463936</v>
      </c>
      <c r="J324" s="7" t="str">
        <f t="shared" si="11"/>
        <v>Low</v>
      </c>
    </row>
    <row r="325" spans="1:10" x14ac:dyDescent="0.3">
      <c r="A325" s="7" t="s">
        <v>485</v>
      </c>
      <c r="B325" s="8" t="s">
        <v>484</v>
      </c>
      <c r="C325" s="7" t="s">
        <v>12</v>
      </c>
      <c r="D325" s="7" t="s">
        <v>34</v>
      </c>
      <c r="E325" s="7" t="s">
        <v>24</v>
      </c>
      <c r="F325" s="9">
        <v>347.6</v>
      </c>
      <c r="G325" s="9">
        <v>81.36</v>
      </c>
      <c r="H325" s="7">
        <v>1</v>
      </c>
      <c r="I325" s="10">
        <f t="shared" si="10"/>
        <v>0.23406214039125431</v>
      </c>
      <c r="J325" s="7" t="str">
        <f t="shared" si="11"/>
        <v>Low</v>
      </c>
    </row>
    <row r="326" spans="1:10" x14ac:dyDescent="0.3">
      <c r="A326" s="7" t="s">
        <v>486</v>
      </c>
      <c r="B326" s="8" t="s">
        <v>484</v>
      </c>
      <c r="C326" s="7" t="s">
        <v>12</v>
      </c>
      <c r="D326" s="7" t="s">
        <v>57</v>
      </c>
      <c r="E326" s="7" t="s">
        <v>18</v>
      </c>
      <c r="F326" s="9">
        <v>907.1</v>
      </c>
      <c r="G326" s="9">
        <v>308.83</v>
      </c>
      <c r="H326" s="7">
        <v>5</v>
      </c>
      <c r="I326" s="10">
        <f t="shared" si="10"/>
        <v>0.34045860434351227</v>
      </c>
      <c r="J326" s="7" t="str">
        <f t="shared" si="11"/>
        <v>Low</v>
      </c>
    </row>
    <row r="327" spans="1:10" x14ac:dyDescent="0.3">
      <c r="A327" s="7" t="s">
        <v>487</v>
      </c>
      <c r="B327" s="8" t="s">
        <v>488</v>
      </c>
      <c r="C327" s="7" t="s">
        <v>12</v>
      </c>
      <c r="D327" s="7" t="s">
        <v>60</v>
      </c>
      <c r="E327" s="7" t="s">
        <v>28</v>
      </c>
      <c r="F327" s="9">
        <v>1530.2</v>
      </c>
      <c r="G327" s="9">
        <v>574.27</v>
      </c>
      <c r="H327" s="7">
        <v>4</v>
      </c>
      <c r="I327" s="10">
        <f t="shared" si="10"/>
        <v>0.37529081165860667</v>
      </c>
      <c r="J327" s="7" t="str">
        <f t="shared" si="11"/>
        <v>Medium</v>
      </c>
    </row>
    <row r="328" spans="1:10" x14ac:dyDescent="0.3">
      <c r="A328" s="7" t="s">
        <v>489</v>
      </c>
      <c r="B328" s="8" t="s">
        <v>488</v>
      </c>
      <c r="C328" s="7" t="s">
        <v>12</v>
      </c>
      <c r="D328" s="7" t="s">
        <v>79</v>
      </c>
      <c r="E328" s="7" t="s">
        <v>14</v>
      </c>
      <c r="F328" s="9">
        <v>159.58000000000001</v>
      </c>
      <c r="G328" s="9">
        <v>69.3</v>
      </c>
      <c r="H328" s="7">
        <v>1</v>
      </c>
      <c r="I328" s="10">
        <f t="shared" si="10"/>
        <v>0.43426494548188993</v>
      </c>
      <c r="J328" s="7" t="str">
        <f t="shared" si="11"/>
        <v>Low</v>
      </c>
    </row>
    <row r="329" spans="1:10" x14ac:dyDescent="0.3">
      <c r="A329" s="7" t="s">
        <v>490</v>
      </c>
      <c r="B329" s="8" t="s">
        <v>488</v>
      </c>
      <c r="C329" s="7" t="s">
        <v>20</v>
      </c>
      <c r="D329" s="7" t="s">
        <v>70</v>
      </c>
      <c r="E329" s="7" t="s">
        <v>14</v>
      </c>
      <c r="F329" s="9">
        <v>1399.16</v>
      </c>
      <c r="G329" s="9">
        <v>241.88</v>
      </c>
      <c r="H329" s="7">
        <v>4</v>
      </c>
      <c r="I329" s="10">
        <f t="shared" si="10"/>
        <v>0.17287515366362674</v>
      </c>
      <c r="J329" s="7" t="str">
        <f t="shared" si="11"/>
        <v>Low</v>
      </c>
    </row>
    <row r="330" spans="1:10" x14ac:dyDescent="0.3">
      <c r="A330" s="7" t="s">
        <v>491</v>
      </c>
      <c r="B330" s="8" t="s">
        <v>492</v>
      </c>
      <c r="C330" s="7" t="s">
        <v>22</v>
      </c>
      <c r="D330" s="7" t="s">
        <v>70</v>
      </c>
      <c r="E330" s="7" t="s">
        <v>14</v>
      </c>
      <c r="F330" s="9">
        <v>381.13</v>
      </c>
      <c r="G330" s="9">
        <v>96.86</v>
      </c>
      <c r="H330" s="7">
        <v>1</v>
      </c>
      <c r="I330" s="10">
        <f t="shared" si="10"/>
        <v>0.25413900768766562</v>
      </c>
      <c r="J330" s="7" t="str">
        <f t="shared" si="11"/>
        <v>Low</v>
      </c>
    </row>
    <row r="331" spans="1:10" x14ac:dyDescent="0.3">
      <c r="A331" s="7" t="s">
        <v>493</v>
      </c>
      <c r="B331" s="8" t="s">
        <v>494</v>
      </c>
      <c r="C331" s="7" t="s">
        <v>22</v>
      </c>
      <c r="D331" s="7" t="s">
        <v>57</v>
      </c>
      <c r="E331" s="7" t="s">
        <v>18</v>
      </c>
      <c r="F331" s="9">
        <v>173.74</v>
      </c>
      <c r="G331" s="9">
        <v>45.15</v>
      </c>
      <c r="H331" s="7">
        <v>1</v>
      </c>
      <c r="I331" s="10">
        <f t="shared" si="10"/>
        <v>0.25987107171635776</v>
      </c>
      <c r="J331" s="7" t="str">
        <f t="shared" si="11"/>
        <v>Low</v>
      </c>
    </row>
    <row r="332" spans="1:10" x14ac:dyDescent="0.3">
      <c r="A332" s="7" t="s">
        <v>495</v>
      </c>
      <c r="B332" s="8" t="s">
        <v>494</v>
      </c>
      <c r="C332" s="7" t="s">
        <v>32</v>
      </c>
      <c r="D332" s="7" t="s">
        <v>50</v>
      </c>
      <c r="E332" s="7" t="s">
        <v>14</v>
      </c>
      <c r="F332" s="9">
        <v>49.35</v>
      </c>
      <c r="G332" s="9">
        <v>21.83</v>
      </c>
      <c r="H332" s="7">
        <v>1</v>
      </c>
      <c r="I332" s="10">
        <f t="shared" si="10"/>
        <v>0.44235055724417421</v>
      </c>
      <c r="J332" s="7" t="str">
        <f t="shared" si="11"/>
        <v>Low</v>
      </c>
    </row>
    <row r="333" spans="1:10" x14ac:dyDescent="0.3">
      <c r="A333" s="7" t="s">
        <v>496</v>
      </c>
      <c r="B333" s="8" t="s">
        <v>494</v>
      </c>
      <c r="C333" s="7" t="s">
        <v>22</v>
      </c>
      <c r="D333" s="7" t="s">
        <v>89</v>
      </c>
      <c r="E333" s="7" t="s">
        <v>24</v>
      </c>
      <c r="F333" s="9">
        <v>1184.92</v>
      </c>
      <c r="G333" s="9">
        <v>361.11</v>
      </c>
      <c r="H333" s="7">
        <v>4</v>
      </c>
      <c r="I333" s="10">
        <f t="shared" si="10"/>
        <v>0.3047547513756203</v>
      </c>
      <c r="J333" s="7" t="str">
        <f t="shared" si="11"/>
        <v>Low</v>
      </c>
    </row>
    <row r="334" spans="1:10" x14ac:dyDescent="0.3">
      <c r="A334" s="7" t="s">
        <v>497</v>
      </c>
      <c r="B334" s="8" t="s">
        <v>498</v>
      </c>
      <c r="C334" s="7" t="s">
        <v>22</v>
      </c>
      <c r="D334" s="7" t="s">
        <v>54</v>
      </c>
      <c r="E334" s="7" t="s">
        <v>28</v>
      </c>
      <c r="F334" s="9">
        <v>736.38</v>
      </c>
      <c r="G334" s="9">
        <v>268.79000000000002</v>
      </c>
      <c r="H334" s="7">
        <v>6</v>
      </c>
      <c r="I334" s="10">
        <f t="shared" si="10"/>
        <v>0.36501534533800484</v>
      </c>
      <c r="J334" s="7" t="str">
        <f t="shared" si="11"/>
        <v>Low</v>
      </c>
    </row>
    <row r="335" spans="1:10" x14ac:dyDescent="0.3">
      <c r="A335" s="7" t="s">
        <v>499</v>
      </c>
      <c r="B335" s="8" t="s">
        <v>498</v>
      </c>
      <c r="C335" s="7" t="s">
        <v>12</v>
      </c>
      <c r="D335" s="7" t="s">
        <v>57</v>
      </c>
      <c r="E335" s="7" t="s">
        <v>18</v>
      </c>
      <c r="F335" s="9">
        <v>167.85</v>
      </c>
      <c r="G335" s="9">
        <v>37.619999999999997</v>
      </c>
      <c r="H335" s="7">
        <v>1</v>
      </c>
      <c r="I335" s="10">
        <f t="shared" si="10"/>
        <v>0.22412868632707775</v>
      </c>
      <c r="J335" s="7" t="str">
        <f t="shared" si="11"/>
        <v>Low</v>
      </c>
    </row>
    <row r="336" spans="1:10" x14ac:dyDescent="0.3">
      <c r="A336" s="7" t="s">
        <v>500</v>
      </c>
      <c r="B336" s="8" t="s">
        <v>498</v>
      </c>
      <c r="C336" s="7" t="s">
        <v>20</v>
      </c>
      <c r="D336" s="7" t="s">
        <v>41</v>
      </c>
      <c r="E336" s="7" t="s">
        <v>28</v>
      </c>
      <c r="F336" s="9">
        <v>1486.45</v>
      </c>
      <c r="G336" s="9">
        <v>638.79</v>
      </c>
      <c r="H336" s="7">
        <v>5</v>
      </c>
      <c r="I336" s="10">
        <f t="shared" si="10"/>
        <v>0.42974200275824948</v>
      </c>
      <c r="J336" s="7" t="str">
        <f t="shared" si="11"/>
        <v>Low</v>
      </c>
    </row>
    <row r="337" spans="1:10" x14ac:dyDescent="0.3">
      <c r="A337" s="7" t="s">
        <v>501</v>
      </c>
      <c r="B337" s="8" t="s">
        <v>502</v>
      </c>
      <c r="C337" s="7" t="s">
        <v>12</v>
      </c>
      <c r="D337" s="7" t="s">
        <v>34</v>
      </c>
      <c r="E337" s="7" t="s">
        <v>24</v>
      </c>
      <c r="F337" s="9">
        <v>376.15</v>
      </c>
      <c r="G337" s="9">
        <v>98.9</v>
      </c>
      <c r="H337" s="7">
        <v>1</v>
      </c>
      <c r="I337" s="10">
        <f t="shared" si="10"/>
        <v>0.26292702379369937</v>
      </c>
      <c r="J337" s="7" t="str">
        <f t="shared" si="11"/>
        <v>Low</v>
      </c>
    </row>
    <row r="338" spans="1:10" x14ac:dyDescent="0.3">
      <c r="A338" s="7" t="s">
        <v>503</v>
      </c>
      <c r="B338" s="8" t="s">
        <v>504</v>
      </c>
      <c r="C338" s="7" t="s">
        <v>22</v>
      </c>
      <c r="D338" s="7" t="s">
        <v>34</v>
      </c>
      <c r="E338" s="7" t="s">
        <v>24</v>
      </c>
      <c r="F338" s="9">
        <v>342.49</v>
      </c>
      <c r="G338" s="9">
        <v>53.51</v>
      </c>
      <c r="H338" s="7">
        <v>1</v>
      </c>
      <c r="I338" s="10">
        <f t="shared" si="10"/>
        <v>0.15623813833980554</v>
      </c>
      <c r="J338" s="7" t="str">
        <f t="shared" si="11"/>
        <v>Low</v>
      </c>
    </row>
    <row r="339" spans="1:10" x14ac:dyDescent="0.3">
      <c r="A339" s="7" t="s">
        <v>505</v>
      </c>
      <c r="B339" s="8" t="s">
        <v>504</v>
      </c>
      <c r="C339" s="7" t="s">
        <v>32</v>
      </c>
      <c r="D339" s="7" t="s">
        <v>38</v>
      </c>
      <c r="E339" s="7" t="s">
        <v>18</v>
      </c>
      <c r="F339" s="9">
        <v>811.72</v>
      </c>
      <c r="G339" s="9">
        <v>275.54000000000002</v>
      </c>
      <c r="H339" s="7">
        <v>2</v>
      </c>
      <c r="I339" s="10">
        <f t="shared" si="10"/>
        <v>0.33945202779283495</v>
      </c>
      <c r="J339" s="7" t="str">
        <f t="shared" si="11"/>
        <v>Low</v>
      </c>
    </row>
    <row r="340" spans="1:10" x14ac:dyDescent="0.3">
      <c r="A340" s="7" t="s">
        <v>506</v>
      </c>
      <c r="B340" s="8" t="s">
        <v>504</v>
      </c>
      <c r="C340" s="7" t="s">
        <v>20</v>
      </c>
      <c r="D340" s="7" t="s">
        <v>74</v>
      </c>
      <c r="E340" s="7" t="s">
        <v>18</v>
      </c>
      <c r="F340" s="9">
        <v>255.57</v>
      </c>
      <c r="G340" s="9">
        <v>43.04</v>
      </c>
      <c r="H340" s="7">
        <v>1</v>
      </c>
      <c r="I340" s="10">
        <f t="shared" si="10"/>
        <v>0.16840787259850531</v>
      </c>
      <c r="J340" s="7" t="str">
        <f t="shared" si="11"/>
        <v>Low</v>
      </c>
    </row>
    <row r="341" spans="1:10" x14ac:dyDescent="0.3">
      <c r="A341" s="7" t="s">
        <v>507</v>
      </c>
      <c r="B341" s="8" t="s">
        <v>504</v>
      </c>
      <c r="C341" s="7" t="s">
        <v>20</v>
      </c>
      <c r="D341" s="7" t="s">
        <v>70</v>
      </c>
      <c r="E341" s="7" t="s">
        <v>14</v>
      </c>
      <c r="F341" s="9">
        <v>705.48</v>
      </c>
      <c r="G341" s="9">
        <v>139.30000000000001</v>
      </c>
      <c r="H341" s="7">
        <v>2</v>
      </c>
      <c r="I341" s="10">
        <f t="shared" si="10"/>
        <v>0.19745421556954132</v>
      </c>
      <c r="J341" s="7" t="str">
        <f t="shared" si="11"/>
        <v>Low</v>
      </c>
    </row>
    <row r="342" spans="1:10" x14ac:dyDescent="0.3">
      <c r="A342" s="7" t="s">
        <v>508</v>
      </c>
      <c r="B342" s="8" t="s">
        <v>504</v>
      </c>
      <c r="C342" s="7" t="s">
        <v>20</v>
      </c>
      <c r="D342" s="7" t="s">
        <v>89</v>
      </c>
      <c r="E342" s="7" t="s">
        <v>24</v>
      </c>
      <c r="F342" s="9">
        <v>285.26</v>
      </c>
      <c r="G342" s="9">
        <v>71.790000000000006</v>
      </c>
      <c r="H342" s="7">
        <v>1</v>
      </c>
      <c r="I342" s="10">
        <f t="shared" si="10"/>
        <v>0.25166514758465963</v>
      </c>
      <c r="J342" s="7" t="str">
        <f t="shared" si="11"/>
        <v>Low</v>
      </c>
    </row>
    <row r="343" spans="1:10" x14ac:dyDescent="0.3">
      <c r="A343" s="7" t="s">
        <v>509</v>
      </c>
      <c r="B343" s="8" t="s">
        <v>510</v>
      </c>
      <c r="C343" s="7" t="s">
        <v>12</v>
      </c>
      <c r="D343" s="7" t="s">
        <v>112</v>
      </c>
      <c r="E343" s="7" t="s">
        <v>14</v>
      </c>
      <c r="F343" s="9">
        <v>869.2</v>
      </c>
      <c r="G343" s="9">
        <v>287.02</v>
      </c>
      <c r="H343" s="7">
        <v>2</v>
      </c>
      <c r="I343" s="10">
        <f t="shared" si="10"/>
        <v>0.33021168890934188</v>
      </c>
      <c r="J343" s="7" t="str">
        <f t="shared" si="11"/>
        <v>Low</v>
      </c>
    </row>
    <row r="344" spans="1:10" x14ac:dyDescent="0.3">
      <c r="A344" s="7" t="s">
        <v>511</v>
      </c>
      <c r="B344" s="8" t="s">
        <v>510</v>
      </c>
      <c r="C344" s="7" t="s">
        <v>12</v>
      </c>
      <c r="D344" s="7" t="s">
        <v>63</v>
      </c>
      <c r="E344" s="7" t="s">
        <v>28</v>
      </c>
      <c r="F344" s="9">
        <v>588.69000000000005</v>
      </c>
      <c r="G344" s="9">
        <v>272.27</v>
      </c>
      <c r="H344" s="7">
        <v>3</v>
      </c>
      <c r="I344" s="10">
        <f t="shared" si="10"/>
        <v>0.46250148635105054</v>
      </c>
      <c r="J344" s="7" t="str">
        <f t="shared" si="11"/>
        <v>Low</v>
      </c>
    </row>
    <row r="345" spans="1:10" x14ac:dyDescent="0.3">
      <c r="A345" s="7" t="s">
        <v>512</v>
      </c>
      <c r="B345" s="8" t="s">
        <v>510</v>
      </c>
      <c r="C345" s="7" t="s">
        <v>22</v>
      </c>
      <c r="D345" s="7" t="s">
        <v>89</v>
      </c>
      <c r="E345" s="7" t="s">
        <v>24</v>
      </c>
      <c r="F345" s="9">
        <v>607.24</v>
      </c>
      <c r="G345" s="9">
        <v>173.03</v>
      </c>
      <c r="H345" s="7">
        <v>2</v>
      </c>
      <c r="I345" s="10">
        <f t="shared" si="10"/>
        <v>0.28494499703576837</v>
      </c>
      <c r="J345" s="7" t="str">
        <f t="shared" si="11"/>
        <v>Low</v>
      </c>
    </row>
    <row r="346" spans="1:10" x14ac:dyDescent="0.3">
      <c r="A346" s="7" t="s">
        <v>513</v>
      </c>
      <c r="B346" s="8" t="s">
        <v>514</v>
      </c>
      <c r="C346" s="7" t="s">
        <v>12</v>
      </c>
      <c r="D346" s="7" t="s">
        <v>70</v>
      </c>
      <c r="E346" s="7" t="s">
        <v>14</v>
      </c>
      <c r="F346" s="9">
        <v>2209.1999999999998</v>
      </c>
      <c r="G346" s="9">
        <v>529.66999999999996</v>
      </c>
      <c r="H346" s="7">
        <v>6</v>
      </c>
      <c r="I346" s="10">
        <f t="shared" si="10"/>
        <v>0.23975647293137786</v>
      </c>
      <c r="J346" s="7" t="str">
        <f t="shared" si="11"/>
        <v>Medium</v>
      </c>
    </row>
    <row r="347" spans="1:10" x14ac:dyDescent="0.3">
      <c r="A347" s="7" t="s">
        <v>515</v>
      </c>
      <c r="B347" s="8" t="s">
        <v>514</v>
      </c>
      <c r="C347" s="7" t="s">
        <v>32</v>
      </c>
      <c r="D347" s="7" t="s">
        <v>38</v>
      </c>
      <c r="E347" s="7" t="s">
        <v>18</v>
      </c>
      <c r="F347" s="9">
        <v>1984.95</v>
      </c>
      <c r="G347" s="9">
        <v>615.52</v>
      </c>
      <c r="H347" s="7">
        <v>5</v>
      </c>
      <c r="I347" s="10">
        <f t="shared" si="10"/>
        <v>0.31009345323559784</v>
      </c>
      <c r="J347" s="7" t="str">
        <f t="shared" si="11"/>
        <v>Medium</v>
      </c>
    </row>
    <row r="348" spans="1:10" x14ac:dyDescent="0.3">
      <c r="A348" s="7" t="s">
        <v>516</v>
      </c>
      <c r="B348" s="8" t="s">
        <v>517</v>
      </c>
      <c r="C348" s="7" t="s">
        <v>12</v>
      </c>
      <c r="D348" s="7" t="s">
        <v>112</v>
      </c>
      <c r="E348" s="7" t="s">
        <v>14</v>
      </c>
      <c r="F348" s="9">
        <v>808.3</v>
      </c>
      <c r="G348" s="9">
        <v>224.66</v>
      </c>
      <c r="H348" s="7">
        <v>2</v>
      </c>
      <c r="I348" s="10">
        <f t="shared" si="10"/>
        <v>0.27794135840653222</v>
      </c>
      <c r="J348" s="7" t="str">
        <f t="shared" si="11"/>
        <v>Low</v>
      </c>
    </row>
    <row r="349" spans="1:10" x14ac:dyDescent="0.3">
      <c r="A349" s="7" t="s">
        <v>518</v>
      </c>
      <c r="B349" s="8" t="s">
        <v>517</v>
      </c>
      <c r="C349" s="7" t="s">
        <v>20</v>
      </c>
      <c r="D349" s="7" t="s">
        <v>38</v>
      </c>
      <c r="E349" s="7" t="s">
        <v>18</v>
      </c>
      <c r="F349" s="9">
        <v>386.64</v>
      </c>
      <c r="G349" s="9">
        <v>91.93</v>
      </c>
      <c r="H349" s="7">
        <v>1</v>
      </c>
      <c r="I349" s="10">
        <f t="shared" si="10"/>
        <v>0.23776639768259883</v>
      </c>
      <c r="J349" s="7" t="str">
        <f t="shared" si="11"/>
        <v>Low</v>
      </c>
    </row>
    <row r="350" spans="1:10" x14ac:dyDescent="0.3">
      <c r="A350" s="7" t="s">
        <v>519</v>
      </c>
      <c r="B350" s="8" t="s">
        <v>517</v>
      </c>
      <c r="C350" s="7" t="s">
        <v>20</v>
      </c>
      <c r="D350" s="7" t="s">
        <v>60</v>
      </c>
      <c r="E350" s="7" t="s">
        <v>28</v>
      </c>
      <c r="F350" s="9">
        <v>751.9</v>
      </c>
      <c r="G350" s="9">
        <v>280.08</v>
      </c>
      <c r="H350" s="7">
        <v>2</v>
      </c>
      <c r="I350" s="10">
        <f t="shared" si="10"/>
        <v>0.37249634259874981</v>
      </c>
      <c r="J350" s="7" t="str">
        <f t="shared" si="11"/>
        <v>Low</v>
      </c>
    </row>
    <row r="351" spans="1:10" x14ac:dyDescent="0.3">
      <c r="A351" s="7" t="s">
        <v>520</v>
      </c>
      <c r="B351" s="8" t="s">
        <v>521</v>
      </c>
      <c r="C351" s="7" t="s">
        <v>32</v>
      </c>
      <c r="D351" s="7" t="s">
        <v>79</v>
      </c>
      <c r="E351" s="7" t="s">
        <v>14</v>
      </c>
      <c r="F351" s="9">
        <v>925.56</v>
      </c>
      <c r="G351" s="9">
        <v>364.42</v>
      </c>
      <c r="H351" s="7">
        <v>6</v>
      </c>
      <c r="I351" s="10">
        <f t="shared" si="10"/>
        <v>0.39372920178054371</v>
      </c>
      <c r="J351" s="7" t="str">
        <f t="shared" si="11"/>
        <v>Low</v>
      </c>
    </row>
    <row r="352" spans="1:10" x14ac:dyDescent="0.3">
      <c r="A352" s="7" t="s">
        <v>522</v>
      </c>
      <c r="B352" s="8" t="s">
        <v>521</v>
      </c>
      <c r="C352" s="7" t="s">
        <v>32</v>
      </c>
      <c r="D352" s="7" t="s">
        <v>63</v>
      </c>
      <c r="E352" s="7" t="s">
        <v>28</v>
      </c>
      <c r="F352" s="9">
        <v>362.46</v>
      </c>
      <c r="G352" s="9">
        <v>154.88999999999999</v>
      </c>
      <c r="H352" s="7">
        <v>2</v>
      </c>
      <c r="I352" s="10">
        <f t="shared" si="10"/>
        <v>0.42732991226618106</v>
      </c>
      <c r="J352" s="7" t="str">
        <f t="shared" si="11"/>
        <v>Low</v>
      </c>
    </row>
    <row r="353" spans="1:10" x14ac:dyDescent="0.3">
      <c r="A353" s="7" t="s">
        <v>523</v>
      </c>
      <c r="B353" s="8" t="s">
        <v>521</v>
      </c>
      <c r="C353" s="7" t="s">
        <v>20</v>
      </c>
      <c r="D353" s="7" t="s">
        <v>79</v>
      </c>
      <c r="E353" s="7" t="s">
        <v>14</v>
      </c>
      <c r="F353" s="9">
        <v>764.1</v>
      </c>
      <c r="G353" s="9">
        <v>277.76</v>
      </c>
      <c r="H353" s="7">
        <v>5</v>
      </c>
      <c r="I353" s="10">
        <f t="shared" si="10"/>
        <v>0.36351262923701083</v>
      </c>
      <c r="J353" s="7" t="str">
        <f t="shared" si="11"/>
        <v>Low</v>
      </c>
    </row>
    <row r="354" spans="1:10" x14ac:dyDescent="0.3">
      <c r="A354" s="7" t="s">
        <v>524</v>
      </c>
      <c r="B354" s="8" t="s">
        <v>521</v>
      </c>
      <c r="C354" s="7" t="s">
        <v>32</v>
      </c>
      <c r="D354" s="7" t="s">
        <v>54</v>
      </c>
      <c r="E354" s="7" t="s">
        <v>28</v>
      </c>
      <c r="F354" s="9">
        <v>538</v>
      </c>
      <c r="G354" s="9">
        <v>213.18</v>
      </c>
      <c r="H354" s="7">
        <v>4</v>
      </c>
      <c r="I354" s="10">
        <f t="shared" si="10"/>
        <v>0.39624535315985132</v>
      </c>
      <c r="J354" s="7" t="str">
        <f t="shared" si="11"/>
        <v>Low</v>
      </c>
    </row>
    <row r="355" spans="1:10" x14ac:dyDescent="0.3">
      <c r="A355" s="7" t="s">
        <v>525</v>
      </c>
      <c r="B355" s="8" t="s">
        <v>526</v>
      </c>
      <c r="C355" s="7" t="s">
        <v>22</v>
      </c>
      <c r="D355" s="7" t="s">
        <v>43</v>
      </c>
      <c r="E355" s="7" t="s">
        <v>24</v>
      </c>
      <c r="F355" s="9">
        <v>100.68</v>
      </c>
      <c r="G355" s="9">
        <v>27.41</v>
      </c>
      <c r="H355" s="7">
        <v>1</v>
      </c>
      <c r="I355" s="10">
        <f t="shared" si="10"/>
        <v>0.272248708780294</v>
      </c>
      <c r="J355" s="7" t="str">
        <f t="shared" si="11"/>
        <v>Low</v>
      </c>
    </row>
    <row r="356" spans="1:10" x14ac:dyDescent="0.3">
      <c r="A356" s="7" t="s">
        <v>527</v>
      </c>
      <c r="B356" s="8" t="s">
        <v>526</v>
      </c>
      <c r="C356" s="7" t="s">
        <v>22</v>
      </c>
      <c r="D356" s="7" t="s">
        <v>27</v>
      </c>
      <c r="E356" s="7" t="s">
        <v>28</v>
      </c>
      <c r="F356" s="9">
        <v>688.36</v>
      </c>
      <c r="G356" s="9">
        <v>183.54</v>
      </c>
      <c r="H356" s="7">
        <v>2</v>
      </c>
      <c r="I356" s="10">
        <f t="shared" si="10"/>
        <v>0.26663373816026498</v>
      </c>
      <c r="J356" s="7" t="str">
        <f t="shared" si="11"/>
        <v>Low</v>
      </c>
    </row>
    <row r="357" spans="1:10" x14ac:dyDescent="0.3">
      <c r="A357" s="7" t="s">
        <v>528</v>
      </c>
      <c r="B357" s="8" t="s">
        <v>526</v>
      </c>
      <c r="C357" s="7" t="s">
        <v>20</v>
      </c>
      <c r="D357" s="7" t="s">
        <v>70</v>
      </c>
      <c r="E357" s="7" t="s">
        <v>14</v>
      </c>
      <c r="F357" s="9">
        <v>727.86</v>
      </c>
      <c r="G357" s="9">
        <v>145.09</v>
      </c>
      <c r="H357" s="7">
        <v>2</v>
      </c>
      <c r="I357" s="10">
        <f t="shared" si="10"/>
        <v>0.19933778473882341</v>
      </c>
      <c r="J357" s="7" t="str">
        <f t="shared" si="11"/>
        <v>Low</v>
      </c>
    </row>
    <row r="358" spans="1:10" x14ac:dyDescent="0.3">
      <c r="A358" s="7" t="s">
        <v>529</v>
      </c>
      <c r="B358" s="8" t="s">
        <v>530</v>
      </c>
      <c r="C358" s="7" t="s">
        <v>32</v>
      </c>
      <c r="D358" s="7" t="s">
        <v>85</v>
      </c>
      <c r="E358" s="7" t="s">
        <v>24</v>
      </c>
      <c r="F358" s="9">
        <v>713.2</v>
      </c>
      <c r="G358" s="9">
        <v>304.86</v>
      </c>
      <c r="H358" s="7">
        <v>2</v>
      </c>
      <c r="I358" s="10">
        <f t="shared" si="10"/>
        <v>0.427453729669097</v>
      </c>
      <c r="J358" s="7" t="str">
        <f t="shared" si="11"/>
        <v>Low</v>
      </c>
    </row>
    <row r="359" spans="1:10" x14ac:dyDescent="0.3">
      <c r="A359" s="7" t="s">
        <v>531</v>
      </c>
      <c r="B359" s="8" t="s">
        <v>530</v>
      </c>
      <c r="C359" s="7" t="s">
        <v>32</v>
      </c>
      <c r="D359" s="7" t="s">
        <v>63</v>
      </c>
      <c r="E359" s="7" t="s">
        <v>28</v>
      </c>
      <c r="F359" s="9">
        <v>180.74</v>
      </c>
      <c r="G359" s="9">
        <v>77.3</v>
      </c>
      <c r="H359" s="7">
        <v>1</v>
      </c>
      <c r="I359" s="10">
        <f t="shared" si="10"/>
        <v>0.42768617904171735</v>
      </c>
      <c r="J359" s="7" t="str">
        <f t="shared" si="11"/>
        <v>Low</v>
      </c>
    </row>
    <row r="360" spans="1:10" x14ac:dyDescent="0.3">
      <c r="A360" s="7" t="s">
        <v>532</v>
      </c>
      <c r="B360" s="8" t="s">
        <v>533</v>
      </c>
      <c r="C360" s="7" t="s">
        <v>20</v>
      </c>
      <c r="D360" s="7" t="s">
        <v>70</v>
      </c>
      <c r="E360" s="7" t="s">
        <v>14</v>
      </c>
      <c r="F360" s="9">
        <v>1074.8399999999999</v>
      </c>
      <c r="G360" s="9">
        <v>225.81</v>
      </c>
      <c r="H360" s="7">
        <v>3</v>
      </c>
      <c r="I360" s="10">
        <f t="shared" si="10"/>
        <v>0.21008708272859217</v>
      </c>
      <c r="J360" s="7" t="str">
        <f t="shared" si="11"/>
        <v>Low</v>
      </c>
    </row>
    <row r="361" spans="1:10" x14ac:dyDescent="0.3">
      <c r="A361" s="7" t="s">
        <v>534</v>
      </c>
      <c r="B361" s="8" t="s">
        <v>533</v>
      </c>
      <c r="C361" s="7" t="s">
        <v>20</v>
      </c>
      <c r="D361" s="7" t="s">
        <v>54</v>
      </c>
      <c r="E361" s="7" t="s">
        <v>28</v>
      </c>
      <c r="F361" s="9">
        <v>538.79999999999995</v>
      </c>
      <c r="G361" s="9">
        <v>206.37</v>
      </c>
      <c r="H361" s="7">
        <v>4</v>
      </c>
      <c r="I361" s="10">
        <f t="shared" si="10"/>
        <v>0.38301781737193769</v>
      </c>
      <c r="J361" s="7" t="str">
        <f t="shared" si="11"/>
        <v>Low</v>
      </c>
    </row>
    <row r="362" spans="1:10" x14ac:dyDescent="0.3">
      <c r="A362" s="7" t="s">
        <v>535</v>
      </c>
      <c r="B362" s="8" t="s">
        <v>533</v>
      </c>
      <c r="C362" s="7" t="s">
        <v>20</v>
      </c>
      <c r="D362" s="7" t="s">
        <v>112</v>
      </c>
      <c r="E362" s="7" t="s">
        <v>14</v>
      </c>
      <c r="F362" s="9">
        <v>449.91</v>
      </c>
      <c r="G362" s="9">
        <v>171.48</v>
      </c>
      <c r="H362" s="7">
        <v>1</v>
      </c>
      <c r="I362" s="10">
        <f t="shared" si="10"/>
        <v>0.38114289524571576</v>
      </c>
      <c r="J362" s="7" t="str">
        <f t="shared" si="11"/>
        <v>Low</v>
      </c>
    </row>
    <row r="363" spans="1:10" x14ac:dyDescent="0.3">
      <c r="A363" s="7" t="s">
        <v>536</v>
      </c>
      <c r="B363" s="8" t="s">
        <v>533</v>
      </c>
      <c r="C363" s="7" t="s">
        <v>32</v>
      </c>
      <c r="D363" s="7" t="s">
        <v>60</v>
      </c>
      <c r="E363" s="7" t="s">
        <v>28</v>
      </c>
      <c r="F363" s="9">
        <v>380.1</v>
      </c>
      <c r="G363" s="9">
        <v>149.51</v>
      </c>
      <c r="H363" s="7">
        <v>1</v>
      </c>
      <c r="I363" s="10">
        <f t="shared" si="10"/>
        <v>0.39334385687976842</v>
      </c>
      <c r="J363" s="7" t="str">
        <f t="shared" si="11"/>
        <v>Low</v>
      </c>
    </row>
    <row r="364" spans="1:10" x14ac:dyDescent="0.3">
      <c r="A364" s="7" t="s">
        <v>537</v>
      </c>
      <c r="B364" s="8" t="s">
        <v>538</v>
      </c>
      <c r="C364" s="7" t="s">
        <v>20</v>
      </c>
      <c r="D364" s="7" t="s">
        <v>57</v>
      </c>
      <c r="E364" s="7" t="s">
        <v>18</v>
      </c>
      <c r="F364" s="9">
        <v>356.4</v>
      </c>
      <c r="G364" s="9">
        <v>114.16</v>
      </c>
      <c r="H364" s="7">
        <v>2</v>
      </c>
      <c r="I364" s="10">
        <f t="shared" si="10"/>
        <v>0.32031425364758698</v>
      </c>
      <c r="J364" s="7" t="str">
        <f t="shared" si="11"/>
        <v>Low</v>
      </c>
    </row>
    <row r="365" spans="1:10" x14ac:dyDescent="0.3">
      <c r="A365" s="7" t="s">
        <v>539</v>
      </c>
      <c r="B365" s="8" t="s">
        <v>538</v>
      </c>
      <c r="C365" s="7" t="s">
        <v>22</v>
      </c>
      <c r="D365" s="7" t="s">
        <v>27</v>
      </c>
      <c r="E365" s="7" t="s">
        <v>28</v>
      </c>
      <c r="F365" s="9">
        <v>986.25</v>
      </c>
      <c r="G365" s="9">
        <v>222.48</v>
      </c>
      <c r="H365" s="7">
        <v>3</v>
      </c>
      <c r="I365" s="10">
        <f t="shared" si="10"/>
        <v>0.22558174904942965</v>
      </c>
      <c r="J365" s="7" t="str">
        <f t="shared" si="11"/>
        <v>Low</v>
      </c>
    </row>
    <row r="366" spans="1:10" x14ac:dyDescent="0.3">
      <c r="A366" s="7" t="s">
        <v>540</v>
      </c>
      <c r="B366" s="8" t="s">
        <v>541</v>
      </c>
      <c r="C366" s="7" t="s">
        <v>12</v>
      </c>
      <c r="D366" s="7" t="s">
        <v>43</v>
      </c>
      <c r="E366" s="7" t="s">
        <v>24</v>
      </c>
      <c r="F366" s="9">
        <v>198.18</v>
      </c>
      <c r="G366" s="9">
        <v>41.94</v>
      </c>
      <c r="H366" s="7">
        <v>2</v>
      </c>
      <c r="I366" s="10">
        <f t="shared" si="10"/>
        <v>0.21162579473206175</v>
      </c>
      <c r="J366" s="7" t="str">
        <f t="shared" si="11"/>
        <v>Low</v>
      </c>
    </row>
    <row r="367" spans="1:10" x14ac:dyDescent="0.3">
      <c r="A367" s="7" t="s">
        <v>542</v>
      </c>
      <c r="B367" s="8" t="s">
        <v>541</v>
      </c>
      <c r="C367" s="7" t="s">
        <v>22</v>
      </c>
      <c r="D367" s="7" t="s">
        <v>112</v>
      </c>
      <c r="E367" s="7" t="s">
        <v>14</v>
      </c>
      <c r="F367" s="9">
        <v>869.72</v>
      </c>
      <c r="G367" s="9">
        <v>299.38</v>
      </c>
      <c r="H367" s="7">
        <v>2</v>
      </c>
      <c r="I367" s="10">
        <f t="shared" si="10"/>
        <v>0.34422572782044797</v>
      </c>
      <c r="J367" s="7" t="str">
        <f t="shared" si="11"/>
        <v>Low</v>
      </c>
    </row>
    <row r="368" spans="1:10" x14ac:dyDescent="0.3">
      <c r="A368" s="7" t="s">
        <v>543</v>
      </c>
      <c r="B368" s="8" t="s">
        <v>541</v>
      </c>
      <c r="C368" s="7" t="s">
        <v>20</v>
      </c>
      <c r="D368" s="7" t="s">
        <v>17</v>
      </c>
      <c r="E368" s="7" t="s">
        <v>18</v>
      </c>
      <c r="F368" s="9">
        <v>1489.96</v>
      </c>
      <c r="G368" s="9">
        <v>421.98</v>
      </c>
      <c r="H368" s="7">
        <v>4</v>
      </c>
      <c r="I368" s="10">
        <f t="shared" si="10"/>
        <v>0.28321565679615562</v>
      </c>
      <c r="J368" s="7" t="str">
        <f t="shared" si="11"/>
        <v>Low</v>
      </c>
    </row>
    <row r="369" spans="1:10" x14ac:dyDescent="0.3">
      <c r="A369" s="7" t="s">
        <v>544</v>
      </c>
      <c r="B369" s="8" t="s">
        <v>541</v>
      </c>
      <c r="C369" s="7" t="s">
        <v>32</v>
      </c>
      <c r="D369" s="7" t="s">
        <v>79</v>
      </c>
      <c r="E369" s="7" t="s">
        <v>14</v>
      </c>
      <c r="F369" s="9">
        <v>152.28</v>
      </c>
      <c r="G369" s="9">
        <v>61.57</v>
      </c>
      <c r="H369" s="7">
        <v>1</v>
      </c>
      <c r="I369" s="10">
        <f t="shared" si="10"/>
        <v>0.40432098765432101</v>
      </c>
      <c r="J369" s="7" t="str">
        <f t="shared" si="11"/>
        <v>Low</v>
      </c>
    </row>
    <row r="370" spans="1:10" x14ac:dyDescent="0.3">
      <c r="A370" s="7" t="s">
        <v>545</v>
      </c>
      <c r="B370" s="8" t="s">
        <v>541</v>
      </c>
      <c r="C370" s="7" t="s">
        <v>32</v>
      </c>
      <c r="D370" s="7" t="s">
        <v>89</v>
      </c>
      <c r="E370" s="7" t="s">
        <v>24</v>
      </c>
      <c r="F370" s="9">
        <v>555.16</v>
      </c>
      <c r="G370" s="9">
        <v>146.97</v>
      </c>
      <c r="H370" s="7">
        <v>2</v>
      </c>
      <c r="I370" s="10">
        <f t="shared" si="10"/>
        <v>0.2647344909575618</v>
      </c>
      <c r="J370" s="7" t="str">
        <f t="shared" si="11"/>
        <v>Low</v>
      </c>
    </row>
    <row r="371" spans="1:10" x14ac:dyDescent="0.3">
      <c r="A371" s="7" t="s">
        <v>546</v>
      </c>
      <c r="B371" s="8" t="s">
        <v>547</v>
      </c>
      <c r="C371" s="7" t="s">
        <v>22</v>
      </c>
      <c r="D371" s="7" t="s">
        <v>43</v>
      </c>
      <c r="E371" s="7" t="s">
        <v>24</v>
      </c>
      <c r="F371" s="9">
        <v>99.57</v>
      </c>
      <c r="G371" s="9">
        <v>25.77</v>
      </c>
      <c r="H371" s="7">
        <v>1</v>
      </c>
      <c r="I371" s="10">
        <f t="shared" si="10"/>
        <v>0.2588128954504369</v>
      </c>
      <c r="J371" s="7" t="str">
        <f t="shared" si="11"/>
        <v>Low</v>
      </c>
    </row>
    <row r="372" spans="1:10" x14ac:dyDescent="0.3">
      <c r="A372" s="7" t="s">
        <v>548</v>
      </c>
      <c r="B372" s="8" t="s">
        <v>547</v>
      </c>
      <c r="C372" s="7" t="s">
        <v>22</v>
      </c>
      <c r="D372" s="7" t="s">
        <v>54</v>
      </c>
      <c r="E372" s="7" t="s">
        <v>28</v>
      </c>
      <c r="F372" s="9">
        <v>407.31</v>
      </c>
      <c r="G372" s="9">
        <v>177.14</v>
      </c>
      <c r="H372" s="7">
        <v>3</v>
      </c>
      <c r="I372" s="10">
        <f t="shared" si="10"/>
        <v>0.43490216297169226</v>
      </c>
      <c r="J372" s="7" t="str">
        <f t="shared" si="11"/>
        <v>Low</v>
      </c>
    </row>
    <row r="373" spans="1:10" x14ac:dyDescent="0.3">
      <c r="A373" s="7" t="s">
        <v>549</v>
      </c>
      <c r="B373" s="8" t="s">
        <v>550</v>
      </c>
      <c r="C373" s="7" t="s">
        <v>20</v>
      </c>
      <c r="D373" s="7" t="s">
        <v>79</v>
      </c>
      <c r="E373" s="7" t="s">
        <v>14</v>
      </c>
      <c r="F373" s="9">
        <v>153.03</v>
      </c>
      <c r="G373" s="9">
        <v>56.92</v>
      </c>
      <c r="H373" s="7">
        <v>1</v>
      </c>
      <c r="I373" s="10">
        <f t="shared" si="10"/>
        <v>0.37195321178853819</v>
      </c>
      <c r="J373" s="7" t="str">
        <f t="shared" si="11"/>
        <v>Low</v>
      </c>
    </row>
    <row r="374" spans="1:10" x14ac:dyDescent="0.3">
      <c r="A374" s="7" t="s">
        <v>551</v>
      </c>
      <c r="B374" s="8" t="s">
        <v>550</v>
      </c>
      <c r="C374" s="7" t="s">
        <v>22</v>
      </c>
      <c r="D374" s="7" t="s">
        <v>89</v>
      </c>
      <c r="E374" s="7" t="s">
        <v>24</v>
      </c>
      <c r="F374" s="9">
        <v>1377.2</v>
      </c>
      <c r="G374" s="9">
        <v>304.36</v>
      </c>
      <c r="H374" s="7">
        <v>5</v>
      </c>
      <c r="I374" s="10">
        <f t="shared" si="10"/>
        <v>0.22099912866686031</v>
      </c>
      <c r="J374" s="7" t="str">
        <f t="shared" si="11"/>
        <v>Low</v>
      </c>
    </row>
    <row r="375" spans="1:10" x14ac:dyDescent="0.3">
      <c r="A375" s="7" t="s">
        <v>552</v>
      </c>
      <c r="B375" s="8" t="s">
        <v>550</v>
      </c>
      <c r="C375" s="7" t="s">
        <v>12</v>
      </c>
      <c r="D375" s="7" t="s">
        <v>112</v>
      </c>
      <c r="E375" s="7" t="s">
        <v>14</v>
      </c>
      <c r="F375" s="9">
        <v>1221.1500000000001</v>
      </c>
      <c r="G375" s="9">
        <v>366.02</v>
      </c>
      <c r="H375" s="7">
        <v>3</v>
      </c>
      <c r="I375" s="10">
        <f t="shared" si="10"/>
        <v>0.29973385742947217</v>
      </c>
      <c r="J375" s="7" t="str">
        <f t="shared" si="11"/>
        <v>Low</v>
      </c>
    </row>
    <row r="376" spans="1:10" x14ac:dyDescent="0.3">
      <c r="A376" s="7" t="s">
        <v>553</v>
      </c>
      <c r="B376" s="8" t="s">
        <v>550</v>
      </c>
      <c r="C376" s="7" t="s">
        <v>32</v>
      </c>
      <c r="D376" s="7" t="s">
        <v>254</v>
      </c>
      <c r="E376" s="7" t="s">
        <v>24</v>
      </c>
      <c r="F376" s="9">
        <v>73.72</v>
      </c>
      <c r="G376" s="9">
        <v>26.02</v>
      </c>
      <c r="H376" s="7">
        <v>4</v>
      </c>
      <c r="I376" s="10">
        <f t="shared" si="10"/>
        <v>0.35295713510580573</v>
      </c>
      <c r="J376" s="7" t="str">
        <f t="shared" si="11"/>
        <v>Low</v>
      </c>
    </row>
    <row r="377" spans="1:10" x14ac:dyDescent="0.3">
      <c r="A377" s="7" t="s">
        <v>554</v>
      </c>
      <c r="B377" s="8" t="s">
        <v>555</v>
      </c>
      <c r="C377" s="7" t="s">
        <v>22</v>
      </c>
      <c r="D377" s="7" t="s">
        <v>112</v>
      </c>
      <c r="E377" s="7" t="s">
        <v>14</v>
      </c>
      <c r="F377" s="9">
        <v>2137.15</v>
      </c>
      <c r="G377" s="9">
        <v>740.34</v>
      </c>
      <c r="H377" s="7">
        <v>5</v>
      </c>
      <c r="I377" s="10">
        <f t="shared" si="10"/>
        <v>0.34641461759820319</v>
      </c>
      <c r="J377" s="7" t="str">
        <f t="shared" si="11"/>
        <v>Medium</v>
      </c>
    </row>
    <row r="378" spans="1:10" x14ac:dyDescent="0.3">
      <c r="A378" s="7" t="s">
        <v>556</v>
      </c>
      <c r="B378" s="8" t="s">
        <v>555</v>
      </c>
      <c r="C378" s="7" t="s">
        <v>22</v>
      </c>
      <c r="D378" s="7" t="s">
        <v>41</v>
      </c>
      <c r="E378" s="7" t="s">
        <v>28</v>
      </c>
      <c r="F378" s="9">
        <v>1496.95</v>
      </c>
      <c r="G378" s="9">
        <v>719.78</v>
      </c>
      <c r="H378" s="7">
        <v>5</v>
      </c>
      <c r="I378" s="10">
        <f t="shared" si="10"/>
        <v>0.48083102308026315</v>
      </c>
      <c r="J378" s="7" t="str">
        <f t="shared" si="11"/>
        <v>Low</v>
      </c>
    </row>
    <row r="379" spans="1:10" x14ac:dyDescent="0.3">
      <c r="A379" s="7" t="s">
        <v>557</v>
      </c>
      <c r="B379" s="8" t="s">
        <v>555</v>
      </c>
      <c r="C379" s="7" t="s">
        <v>22</v>
      </c>
      <c r="D379" s="7" t="s">
        <v>54</v>
      </c>
      <c r="E379" s="7" t="s">
        <v>28</v>
      </c>
      <c r="F379" s="9">
        <v>263</v>
      </c>
      <c r="G379" s="9">
        <v>95.94</v>
      </c>
      <c r="H379" s="7">
        <v>2</v>
      </c>
      <c r="I379" s="10">
        <f t="shared" si="10"/>
        <v>0.36479087452471481</v>
      </c>
      <c r="J379" s="7" t="str">
        <f t="shared" si="11"/>
        <v>Low</v>
      </c>
    </row>
    <row r="380" spans="1:10" x14ac:dyDescent="0.3">
      <c r="A380" s="7" t="s">
        <v>558</v>
      </c>
      <c r="B380" s="8" t="s">
        <v>555</v>
      </c>
      <c r="C380" s="7" t="s">
        <v>22</v>
      </c>
      <c r="D380" s="7" t="s">
        <v>34</v>
      </c>
      <c r="E380" s="7" t="s">
        <v>24</v>
      </c>
      <c r="F380" s="9">
        <v>1049.49</v>
      </c>
      <c r="G380" s="9">
        <v>201.67</v>
      </c>
      <c r="H380" s="7">
        <v>3</v>
      </c>
      <c r="I380" s="10">
        <f t="shared" si="10"/>
        <v>0.19216000152455001</v>
      </c>
      <c r="J380" s="7" t="str">
        <f t="shared" si="11"/>
        <v>Low</v>
      </c>
    </row>
    <row r="381" spans="1:10" x14ac:dyDescent="0.3">
      <c r="A381" s="7" t="s">
        <v>559</v>
      </c>
      <c r="B381" s="8" t="s">
        <v>560</v>
      </c>
      <c r="C381" s="7" t="s">
        <v>22</v>
      </c>
      <c r="D381" s="7" t="s">
        <v>23</v>
      </c>
      <c r="E381" s="7" t="s">
        <v>24</v>
      </c>
      <c r="F381" s="9">
        <v>535.85</v>
      </c>
      <c r="G381" s="9">
        <v>182.04</v>
      </c>
      <c r="H381" s="7">
        <v>5</v>
      </c>
      <c r="I381" s="10">
        <f t="shared" si="10"/>
        <v>0.33972193710926563</v>
      </c>
      <c r="J381" s="7" t="str">
        <f t="shared" si="11"/>
        <v>Low</v>
      </c>
    </row>
    <row r="382" spans="1:10" x14ac:dyDescent="0.3">
      <c r="A382" s="7" t="s">
        <v>561</v>
      </c>
      <c r="B382" s="8" t="s">
        <v>560</v>
      </c>
      <c r="C382" s="7" t="s">
        <v>22</v>
      </c>
      <c r="D382" s="7" t="s">
        <v>17</v>
      </c>
      <c r="E382" s="7" t="s">
        <v>18</v>
      </c>
      <c r="F382" s="9">
        <v>367.15</v>
      </c>
      <c r="G382" s="9">
        <v>83.15</v>
      </c>
      <c r="H382" s="7">
        <v>1</v>
      </c>
      <c r="I382" s="10">
        <f t="shared" si="10"/>
        <v>0.22647419310908351</v>
      </c>
      <c r="J382" s="7" t="str">
        <f t="shared" si="11"/>
        <v>Low</v>
      </c>
    </row>
    <row r="383" spans="1:10" x14ac:dyDescent="0.3">
      <c r="A383" s="7" t="s">
        <v>562</v>
      </c>
      <c r="B383" s="8" t="s">
        <v>563</v>
      </c>
      <c r="C383" s="7" t="s">
        <v>22</v>
      </c>
      <c r="D383" s="7" t="s">
        <v>254</v>
      </c>
      <c r="E383" s="7" t="s">
        <v>24</v>
      </c>
      <c r="F383" s="9">
        <v>38.68</v>
      </c>
      <c r="G383" s="9">
        <v>13.78</v>
      </c>
      <c r="H383" s="7">
        <v>2</v>
      </c>
      <c r="I383" s="10">
        <f t="shared" si="10"/>
        <v>0.35625646328852117</v>
      </c>
      <c r="J383" s="7" t="str">
        <f t="shared" si="11"/>
        <v>Low</v>
      </c>
    </row>
    <row r="384" spans="1:10" x14ac:dyDescent="0.3">
      <c r="A384" s="7" t="s">
        <v>564</v>
      </c>
      <c r="B384" s="8" t="s">
        <v>565</v>
      </c>
      <c r="C384" s="7" t="s">
        <v>20</v>
      </c>
      <c r="D384" s="7" t="s">
        <v>50</v>
      </c>
      <c r="E384" s="7" t="s">
        <v>14</v>
      </c>
      <c r="F384" s="9">
        <v>137.69999999999999</v>
      </c>
      <c r="G384" s="9">
        <v>54.37</v>
      </c>
      <c r="H384" s="7">
        <v>3</v>
      </c>
      <c r="I384" s="10">
        <f t="shared" si="10"/>
        <v>0.39484386347131445</v>
      </c>
      <c r="J384" s="7" t="str">
        <f t="shared" si="11"/>
        <v>Low</v>
      </c>
    </row>
    <row r="385" spans="1:10" x14ac:dyDescent="0.3">
      <c r="A385" s="7" t="s">
        <v>566</v>
      </c>
      <c r="B385" s="8" t="s">
        <v>565</v>
      </c>
      <c r="C385" s="7" t="s">
        <v>12</v>
      </c>
      <c r="D385" s="7" t="s">
        <v>38</v>
      </c>
      <c r="E385" s="7" t="s">
        <v>18</v>
      </c>
      <c r="F385" s="9">
        <v>361.9</v>
      </c>
      <c r="G385" s="9">
        <v>76.239999999999995</v>
      </c>
      <c r="H385" s="7">
        <v>1</v>
      </c>
      <c r="I385" s="10">
        <f t="shared" si="10"/>
        <v>0.21066592981486598</v>
      </c>
      <c r="J385" s="7" t="str">
        <f t="shared" si="11"/>
        <v>Low</v>
      </c>
    </row>
    <row r="386" spans="1:10" x14ac:dyDescent="0.3">
      <c r="A386" s="7" t="s">
        <v>567</v>
      </c>
      <c r="B386" s="8" t="s">
        <v>565</v>
      </c>
      <c r="C386" s="7" t="s">
        <v>12</v>
      </c>
      <c r="D386" s="7" t="s">
        <v>38</v>
      </c>
      <c r="E386" s="7" t="s">
        <v>18</v>
      </c>
      <c r="F386" s="9">
        <v>3842.6</v>
      </c>
      <c r="G386" s="9">
        <v>1102.74</v>
      </c>
      <c r="H386" s="7">
        <v>10</v>
      </c>
      <c r="I386" s="10">
        <f t="shared" ref="I386:I449" si="12">IFERROR(G386/F386,0)</f>
        <v>0.28697756727215951</v>
      </c>
      <c r="J386" s="7" t="str">
        <f t="shared" ref="J386:J449" si="13">IF(F386&gt;5000,"High",IF(F386&gt;1500,"Medium","Low"))</f>
        <v>Medium</v>
      </c>
    </row>
    <row r="387" spans="1:10" x14ac:dyDescent="0.3">
      <c r="A387" s="7" t="s">
        <v>568</v>
      </c>
      <c r="B387" s="8" t="s">
        <v>565</v>
      </c>
      <c r="C387" s="7" t="s">
        <v>22</v>
      </c>
      <c r="D387" s="7" t="s">
        <v>34</v>
      </c>
      <c r="E387" s="7" t="s">
        <v>24</v>
      </c>
      <c r="F387" s="9">
        <v>1417.04</v>
      </c>
      <c r="G387" s="9">
        <v>317.95</v>
      </c>
      <c r="H387" s="7">
        <v>4</v>
      </c>
      <c r="I387" s="10">
        <f t="shared" si="12"/>
        <v>0.22437616439902897</v>
      </c>
      <c r="J387" s="7" t="str">
        <f t="shared" si="13"/>
        <v>Low</v>
      </c>
    </row>
    <row r="388" spans="1:10" x14ac:dyDescent="0.3">
      <c r="A388" s="7" t="s">
        <v>569</v>
      </c>
      <c r="B388" s="8" t="s">
        <v>570</v>
      </c>
      <c r="C388" s="7" t="s">
        <v>12</v>
      </c>
      <c r="D388" s="7" t="s">
        <v>23</v>
      </c>
      <c r="E388" s="7" t="s">
        <v>24</v>
      </c>
      <c r="F388" s="9">
        <v>105.9</v>
      </c>
      <c r="G388" s="9">
        <v>31</v>
      </c>
      <c r="H388" s="7">
        <v>1</v>
      </c>
      <c r="I388" s="10">
        <f t="shared" si="12"/>
        <v>0.29272898961284227</v>
      </c>
      <c r="J388" s="7" t="str">
        <f t="shared" si="13"/>
        <v>Low</v>
      </c>
    </row>
    <row r="389" spans="1:10" x14ac:dyDescent="0.3">
      <c r="A389" s="7" t="s">
        <v>571</v>
      </c>
      <c r="B389" s="8" t="s">
        <v>570</v>
      </c>
      <c r="C389" s="7" t="s">
        <v>22</v>
      </c>
      <c r="D389" s="7" t="s">
        <v>23</v>
      </c>
      <c r="E389" s="7" t="s">
        <v>24</v>
      </c>
      <c r="F389" s="9">
        <v>544.85</v>
      </c>
      <c r="G389" s="9">
        <v>169.65</v>
      </c>
      <c r="H389" s="7">
        <v>5</v>
      </c>
      <c r="I389" s="10">
        <f t="shared" si="12"/>
        <v>0.31137010186289804</v>
      </c>
      <c r="J389" s="7" t="str">
        <f t="shared" si="13"/>
        <v>Low</v>
      </c>
    </row>
    <row r="390" spans="1:10" x14ac:dyDescent="0.3">
      <c r="A390" s="7" t="s">
        <v>572</v>
      </c>
      <c r="B390" s="8" t="s">
        <v>570</v>
      </c>
      <c r="C390" s="7" t="s">
        <v>32</v>
      </c>
      <c r="D390" s="7" t="s">
        <v>57</v>
      </c>
      <c r="E390" s="7" t="s">
        <v>18</v>
      </c>
      <c r="F390" s="9">
        <v>891.05</v>
      </c>
      <c r="G390" s="9">
        <v>259.94</v>
      </c>
      <c r="H390" s="7">
        <v>5</v>
      </c>
      <c r="I390" s="10">
        <f t="shared" si="12"/>
        <v>0.29172324785365583</v>
      </c>
      <c r="J390" s="7" t="str">
        <f t="shared" si="13"/>
        <v>Low</v>
      </c>
    </row>
    <row r="391" spans="1:10" x14ac:dyDescent="0.3">
      <c r="A391" s="7" t="s">
        <v>573</v>
      </c>
      <c r="B391" s="8" t="s">
        <v>570</v>
      </c>
      <c r="C391" s="7" t="s">
        <v>22</v>
      </c>
      <c r="D391" s="7" t="s">
        <v>70</v>
      </c>
      <c r="E391" s="7" t="s">
        <v>14</v>
      </c>
      <c r="F391" s="9">
        <v>1056.45</v>
      </c>
      <c r="G391" s="9">
        <v>243.37</v>
      </c>
      <c r="H391" s="7">
        <v>3</v>
      </c>
      <c r="I391" s="10">
        <f t="shared" si="12"/>
        <v>0.23036584788679065</v>
      </c>
      <c r="J391" s="7" t="str">
        <f t="shared" si="13"/>
        <v>Low</v>
      </c>
    </row>
    <row r="392" spans="1:10" x14ac:dyDescent="0.3">
      <c r="A392" s="7" t="s">
        <v>574</v>
      </c>
      <c r="B392" s="8" t="s">
        <v>575</v>
      </c>
      <c r="C392" s="7" t="s">
        <v>20</v>
      </c>
      <c r="D392" s="7" t="s">
        <v>85</v>
      </c>
      <c r="E392" s="7" t="s">
        <v>24</v>
      </c>
      <c r="F392" s="9">
        <v>2156.46</v>
      </c>
      <c r="G392" s="9">
        <v>978.19</v>
      </c>
      <c r="H392" s="7">
        <v>6</v>
      </c>
      <c r="I392" s="10">
        <f t="shared" si="12"/>
        <v>0.45360915574599114</v>
      </c>
      <c r="J392" s="7" t="str">
        <f t="shared" si="13"/>
        <v>Medium</v>
      </c>
    </row>
    <row r="393" spans="1:10" x14ac:dyDescent="0.3">
      <c r="A393" s="7" t="s">
        <v>576</v>
      </c>
      <c r="B393" s="8" t="s">
        <v>575</v>
      </c>
      <c r="C393" s="7" t="s">
        <v>12</v>
      </c>
      <c r="D393" s="7" t="s">
        <v>89</v>
      </c>
      <c r="E393" s="7" t="s">
        <v>24</v>
      </c>
      <c r="F393" s="9">
        <v>551.91999999999996</v>
      </c>
      <c r="G393" s="9">
        <v>130.63</v>
      </c>
      <c r="H393" s="7">
        <v>2</v>
      </c>
      <c r="I393" s="10">
        <f t="shared" si="12"/>
        <v>0.23668285258733152</v>
      </c>
      <c r="J393" s="7" t="str">
        <f t="shared" si="13"/>
        <v>Low</v>
      </c>
    </row>
    <row r="394" spans="1:10" x14ac:dyDescent="0.3">
      <c r="A394" s="7" t="s">
        <v>577</v>
      </c>
      <c r="B394" s="8" t="s">
        <v>575</v>
      </c>
      <c r="C394" s="7" t="s">
        <v>32</v>
      </c>
      <c r="D394" s="7" t="s">
        <v>34</v>
      </c>
      <c r="E394" s="7" t="s">
        <v>24</v>
      </c>
      <c r="F394" s="9">
        <v>373.02</v>
      </c>
      <c r="G394" s="9">
        <v>103.22</v>
      </c>
      <c r="H394" s="7">
        <v>1</v>
      </c>
      <c r="I394" s="10">
        <f t="shared" si="12"/>
        <v>0.27671438528765213</v>
      </c>
      <c r="J394" s="7" t="str">
        <f t="shared" si="13"/>
        <v>Low</v>
      </c>
    </row>
    <row r="395" spans="1:10" x14ac:dyDescent="0.3">
      <c r="A395" s="7" t="s">
        <v>578</v>
      </c>
      <c r="B395" s="8" t="s">
        <v>579</v>
      </c>
      <c r="C395" s="7" t="s">
        <v>22</v>
      </c>
      <c r="D395" s="7" t="s">
        <v>23</v>
      </c>
      <c r="E395" s="7" t="s">
        <v>24</v>
      </c>
      <c r="F395" s="9">
        <v>106.26</v>
      </c>
      <c r="G395" s="9">
        <v>33.979999999999997</v>
      </c>
      <c r="H395" s="7">
        <v>1</v>
      </c>
      <c r="I395" s="10">
        <f t="shared" si="12"/>
        <v>0.31978166760775451</v>
      </c>
      <c r="J395" s="7" t="str">
        <f t="shared" si="13"/>
        <v>Low</v>
      </c>
    </row>
    <row r="396" spans="1:10" x14ac:dyDescent="0.3">
      <c r="A396" s="7" t="s">
        <v>580</v>
      </c>
      <c r="B396" s="8" t="s">
        <v>579</v>
      </c>
      <c r="C396" s="7" t="s">
        <v>22</v>
      </c>
      <c r="D396" s="7" t="s">
        <v>17</v>
      </c>
      <c r="E396" s="7" t="s">
        <v>18</v>
      </c>
      <c r="F396" s="9">
        <v>345.38</v>
      </c>
      <c r="G396" s="9">
        <v>64.23</v>
      </c>
      <c r="H396" s="7">
        <v>1</v>
      </c>
      <c r="I396" s="10">
        <f t="shared" si="12"/>
        <v>0.18596907753778449</v>
      </c>
      <c r="J396" s="7" t="str">
        <f t="shared" si="13"/>
        <v>Low</v>
      </c>
    </row>
    <row r="397" spans="1:10" x14ac:dyDescent="0.3">
      <c r="A397" s="7" t="s">
        <v>581</v>
      </c>
      <c r="B397" s="8" t="s">
        <v>579</v>
      </c>
      <c r="C397" s="7" t="s">
        <v>12</v>
      </c>
      <c r="D397" s="7" t="s">
        <v>23</v>
      </c>
      <c r="E397" s="7" t="s">
        <v>24</v>
      </c>
      <c r="F397" s="9">
        <v>391.56</v>
      </c>
      <c r="G397" s="9">
        <v>111.39</v>
      </c>
      <c r="H397" s="7">
        <v>4</v>
      </c>
      <c r="I397" s="10">
        <f t="shared" si="12"/>
        <v>0.28447747471651852</v>
      </c>
      <c r="J397" s="7" t="str">
        <f t="shared" si="13"/>
        <v>Low</v>
      </c>
    </row>
    <row r="398" spans="1:10" x14ac:dyDescent="0.3">
      <c r="A398" s="7" t="s">
        <v>582</v>
      </c>
      <c r="B398" s="8" t="s">
        <v>579</v>
      </c>
      <c r="C398" s="7" t="s">
        <v>20</v>
      </c>
      <c r="D398" s="7" t="s">
        <v>63</v>
      </c>
      <c r="E398" s="7" t="s">
        <v>28</v>
      </c>
      <c r="F398" s="9">
        <v>993.3</v>
      </c>
      <c r="G398" s="9">
        <v>442.16</v>
      </c>
      <c r="H398" s="7">
        <v>5</v>
      </c>
      <c r="I398" s="10">
        <f t="shared" si="12"/>
        <v>0.44514245444478007</v>
      </c>
      <c r="J398" s="7" t="str">
        <f t="shared" si="13"/>
        <v>Low</v>
      </c>
    </row>
    <row r="399" spans="1:10" x14ac:dyDescent="0.3">
      <c r="A399" s="7" t="s">
        <v>583</v>
      </c>
      <c r="B399" s="8" t="s">
        <v>584</v>
      </c>
      <c r="C399" s="7" t="s">
        <v>20</v>
      </c>
      <c r="D399" s="7" t="s">
        <v>254</v>
      </c>
      <c r="E399" s="7" t="s">
        <v>24</v>
      </c>
      <c r="F399" s="9">
        <v>38.5</v>
      </c>
      <c r="G399" s="9">
        <v>15.64</v>
      </c>
      <c r="H399" s="7">
        <v>2</v>
      </c>
      <c r="I399" s="10">
        <f t="shared" si="12"/>
        <v>0.40623376623376622</v>
      </c>
      <c r="J399" s="7" t="str">
        <f t="shared" si="13"/>
        <v>Low</v>
      </c>
    </row>
    <row r="400" spans="1:10" x14ac:dyDescent="0.3">
      <c r="A400" s="7" t="s">
        <v>585</v>
      </c>
      <c r="B400" s="8" t="s">
        <v>584</v>
      </c>
      <c r="C400" s="7" t="s">
        <v>20</v>
      </c>
      <c r="D400" s="7" t="s">
        <v>57</v>
      </c>
      <c r="E400" s="7" t="s">
        <v>18</v>
      </c>
      <c r="F400" s="9">
        <v>362.48</v>
      </c>
      <c r="G400" s="9">
        <v>104.37</v>
      </c>
      <c r="H400" s="7">
        <v>2</v>
      </c>
      <c r="I400" s="10">
        <f t="shared" si="12"/>
        <v>0.28793312734495696</v>
      </c>
      <c r="J400" s="7" t="str">
        <f t="shared" si="13"/>
        <v>Low</v>
      </c>
    </row>
    <row r="401" spans="1:10" x14ac:dyDescent="0.3">
      <c r="A401" s="7" t="s">
        <v>586</v>
      </c>
      <c r="B401" s="8" t="s">
        <v>584</v>
      </c>
      <c r="C401" s="7" t="s">
        <v>12</v>
      </c>
      <c r="D401" s="7" t="s">
        <v>79</v>
      </c>
      <c r="E401" s="7" t="s">
        <v>14</v>
      </c>
      <c r="F401" s="9">
        <v>476.79</v>
      </c>
      <c r="G401" s="9">
        <v>203.24</v>
      </c>
      <c r="H401" s="7">
        <v>3</v>
      </c>
      <c r="I401" s="10">
        <f t="shared" si="12"/>
        <v>0.42626732943224482</v>
      </c>
      <c r="J401" s="7" t="str">
        <f t="shared" si="13"/>
        <v>Low</v>
      </c>
    </row>
    <row r="402" spans="1:10" x14ac:dyDescent="0.3">
      <c r="A402" s="7" t="s">
        <v>587</v>
      </c>
      <c r="B402" s="8" t="s">
        <v>588</v>
      </c>
      <c r="C402" s="7" t="s">
        <v>12</v>
      </c>
      <c r="D402" s="7" t="s">
        <v>43</v>
      </c>
      <c r="E402" s="7" t="s">
        <v>24</v>
      </c>
      <c r="F402" s="9">
        <v>416.56</v>
      </c>
      <c r="G402" s="9">
        <v>106.18</v>
      </c>
      <c r="H402" s="7">
        <v>4</v>
      </c>
      <c r="I402" s="10">
        <f t="shared" si="12"/>
        <v>0.25489725369694644</v>
      </c>
      <c r="J402" s="7" t="str">
        <f t="shared" si="13"/>
        <v>Low</v>
      </c>
    </row>
    <row r="403" spans="1:10" x14ac:dyDescent="0.3">
      <c r="A403" s="7" t="s">
        <v>589</v>
      </c>
      <c r="B403" s="8" t="s">
        <v>588</v>
      </c>
      <c r="C403" s="7" t="s">
        <v>12</v>
      </c>
      <c r="D403" s="7" t="s">
        <v>63</v>
      </c>
      <c r="E403" s="7" t="s">
        <v>28</v>
      </c>
      <c r="F403" s="9">
        <v>377.98</v>
      </c>
      <c r="G403" s="9">
        <v>157.31</v>
      </c>
      <c r="H403" s="7">
        <v>2</v>
      </c>
      <c r="I403" s="10">
        <f t="shared" si="12"/>
        <v>0.41618604158950206</v>
      </c>
      <c r="J403" s="7" t="str">
        <f t="shared" si="13"/>
        <v>Low</v>
      </c>
    </row>
    <row r="404" spans="1:10" x14ac:dyDescent="0.3">
      <c r="A404" s="7" t="s">
        <v>590</v>
      </c>
      <c r="B404" s="8" t="s">
        <v>591</v>
      </c>
      <c r="C404" s="7" t="s">
        <v>32</v>
      </c>
      <c r="D404" s="7" t="s">
        <v>34</v>
      </c>
      <c r="E404" s="7" t="s">
        <v>24</v>
      </c>
      <c r="F404" s="9">
        <v>2700.64</v>
      </c>
      <c r="G404" s="9">
        <v>434.2</v>
      </c>
      <c r="H404" s="7">
        <v>8</v>
      </c>
      <c r="I404" s="10">
        <f t="shared" si="12"/>
        <v>0.16077670478108894</v>
      </c>
      <c r="J404" s="7" t="str">
        <f t="shared" si="13"/>
        <v>Medium</v>
      </c>
    </row>
    <row r="405" spans="1:10" x14ac:dyDescent="0.3">
      <c r="A405" s="7" t="s">
        <v>592</v>
      </c>
      <c r="B405" s="8" t="s">
        <v>591</v>
      </c>
      <c r="C405" s="7" t="s">
        <v>32</v>
      </c>
      <c r="D405" s="7" t="s">
        <v>85</v>
      </c>
      <c r="E405" s="7" t="s">
        <v>24</v>
      </c>
      <c r="F405" s="9">
        <v>2746.88</v>
      </c>
      <c r="G405" s="9">
        <v>1103.1500000000001</v>
      </c>
      <c r="H405" s="7">
        <v>8</v>
      </c>
      <c r="I405" s="10">
        <f t="shared" si="12"/>
        <v>0.40160108923578752</v>
      </c>
      <c r="J405" s="7" t="str">
        <f t="shared" si="13"/>
        <v>Medium</v>
      </c>
    </row>
    <row r="406" spans="1:10" x14ac:dyDescent="0.3">
      <c r="A406" s="7" t="s">
        <v>593</v>
      </c>
      <c r="B406" s="8" t="s">
        <v>591</v>
      </c>
      <c r="C406" s="7" t="s">
        <v>20</v>
      </c>
      <c r="D406" s="7" t="s">
        <v>23</v>
      </c>
      <c r="E406" s="7" t="s">
        <v>24</v>
      </c>
      <c r="F406" s="9">
        <v>207.64</v>
      </c>
      <c r="G406" s="9">
        <v>64.42</v>
      </c>
      <c r="H406" s="7">
        <v>2</v>
      </c>
      <c r="I406" s="10">
        <f t="shared" si="12"/>
        <v>0.31024850703140056</v>
      </c>
      <c r="J406" s="7" t="str">
        <f t="shared" si="13"/>
        <v>Low</v>
      </c>
    </row>
    <row r="407" spans="1:10" x14ac:dyDescent="0.3">
      <c r="A407" s="7" t="s">
        <v>594</v>
      </c>
      <c r="B407" s="8" t="s">
        <v>595</v>
      </c>
      <c r="C407" s="7" t="s">
        <v>20</v>
      </c>
      <c r="D407" s="7" t="s">
        <v>38</v>
      </c>
      <c r="E407" s="7" t="s">
        <v>18</v>
      </c>
      <c r="F407" s="9">
        <v>403.8</v>
      </c>
      <c r="G407" s="9">
        <v>110.92</v>
      </c>
      <c r="H407" s="7">
        <v>1</v>
      </c>
      <c r="I407" s="10">
        <f t="shared" si="12"/>
        <v>0.27469044081228333</v>
      </c>
      <c r="J407" s="7" t="str">
        <f t="shared" si="13"/>
        <v>Low</v>
      </c>
    </row>
    <row r="408" spans="1:10" x14ac:dyDescent="0.3">
      <c r="A408" s="7" t="s">
        <v>596</v>
      </c>
      <c r="B408" s="8" t="s">
        <v>595</v>
      </c>
      <c r="C408" s="7" t="s">
        <v>32</v>
      </c>
      <c r="D408" s="7" t="s">
        <v>57</v>
      </c>
      <c r="E408" s="7" t="s">
        <v>18</v>
      </c>
      <c r="F408" s="9">
        <v>1331.44</v>
      </c>
      <c r="G408" s="9">
        <v>343.69</v>
      </c>
      <c r="H408" s="7">
        <v>8</v>
      </c>
      <c r="I408" s="10">
        <f t="shared" si="12"/>
        <v>0.25813405035149911</v>
      </c>
      <c r="J408" s="7" t="str">
        <f t="shared" si="13"/>
        <v>Low</v>
      </c>
    </row>
    <row r="409" spans="1:10" x14ac:dyDescent="0.3">
      <c r="A409" s="7" t="s">
        <v>597</v>
      </c>
      <c r="B409" s="8" t="s">
        <v>595</v>
      </c>
      <c r="C409" s="7" t="s">
        <v>32</v>
      </c>
      <c r="D409" s="7" t="s">
        <v>38</v>
      </c>
      <c r="E409" s="7" t="s">
        <v>18</v>
      </c>
      <c r="F409" s="9">
        <v>373.97</v>
      </c>
      <c r="G409" s="9">
        <v>80.16</v>
      </c>
      <c r="H409" s="7">
        <v>1</v>
      </c>
      <c r="I409" s="10">
        <f t="shared" si="12"/>
        <v>0.21434874455170197</v>
      </c>
      <c r="J409" s="7" t="str">
        <f t="shared" si="13"/>
        <v>Low</v>
      </c>
    </row>
    <row r="410" spans="1:10" x14ac:dyDescent="0.3">
      <c r="A410" s="7" t="s">
        <v>598</v>
      </c>
      <c r="B410" s="8" t="s">
        <v>599</v>
      </c>
      <c r="C410" s="7" t="s">
        <v>12</v>
      </c>
      <c r="D410" s="7" t="s">
        <v>63</v>
      </c>
      <c r="E410" s="7" t="s">
        <v>28</v>
      </c>
      <c r="F410" s="9">
        <v>195.03</v>
      </c>
      <c r="G410" s="9">
        <v>85.04</v>
      </c>
      <c r="H410" s="7">
        <v>1</v>
      </c>
      <c r="I410" s="10">
        <f t="shared" si="12"/>
        <v>0.43603548172076095</v>
      </c>
      <c r="J410" s="7" t="str">
        <f t="shared" si="13"/>
        <v>Low</v>
      </c>
    </row>
    <row r="411" spans="1:10" x14ac:dyDescent="0.3">
      <c r="A411" s="7" t="s">
        <v>600</v>
      </c>
      <c r="B411" s="8" t="s">
        <v>599</v>
      </c>
      <c r="C411" s="7" t="s">
        <v>32</v>
      </c>
      <c r="D411" s="7" t="s">
        <v>63</v>
      </c>
      <c r="E411" s="7" t="s">
        <v>28</v>
      </c>
      <c r="F411" s="9">
        <v>1875.9</v>
      </c>
      <c r="G411" s="9">
        <v>735.86</v>
      </c>
      <c r="H411" s="7">
        <v>10</v>
      </c>
      <c r="I411" s="10">
        <f t="shared" si="12"/>
        <v>0.3922703768857615</v>
      </c>
      <c r="J411" s="7" t="str">
        <f t="shared" si="13"/>
        <v>Medium</v>
      </c>
    </row>
    <row r="412" spans="1:10" x14ac:dyDescent="0.3">
      <c r="A412" s="7" t="s">
        <v>601</v>
      </c>
      <c r="B412" s="8" t="s">
        <v>602</v>
      </c>
      <c r="C412" s="7" t="s">
        <v>32</v>
      </c>
      <c r="D412" s="7" t="s">
        <v>38</v>
      </c>
      <c r="E412" s="7" t="s">
        <v>18</v>
      </c>
      <c r="F412" s="9">
        <v>1574.56</v>
      </c>
      <c r="G412" s="9">
        <v>470.92</v>
      </c>
      <c r="H412" s="7">
        <v>4</v>
      </c>
      <c r="I412" s="10">
        <f t="shared" si="12"/>
        <v>0.2990803780103648</v>
      </c>
      <c r="J412" s="7" t="str">
        <f t="shared" si="13"/>
        <v>Medium</v>
      </c>
    </row>
    <row r="413" spans="1:10" x14ac:dyDescent="0.3">
      <c r="A413" s="7" t="s">
        <v>603</v>
      </c>
      <c r="B413" s="8" t="s">
        <v>604</v>
      </c>
      <c r="C413" s="7" t="s">
        <v>12</v>
      </c>
      <c r="D413" s="7" t="s">
        <v>85</v>
      </c>
      <c r="E413" s="7" t="s">
        <v>24</v>
      </c>
      <c r="F413" s="9">
        <v>372.57</v>
      </c>
      <c r="G413" s="9">
        <v>167.88</v>
      </c>
      <c r="H413" s="7">
        <v>1</v>
      </c>
      <c r="I413" s="10">
        <f t="shared" si="12"/>
        <v>0.45059988726950639</v>
      </c>
      <c r="J413" s="7" t="str">
        <f t="shared" si="13"/>
        <v>Low</v>
      </c>
    </row>
    <row r="414" spans="1:10" x14ac:dyDescent="0.3">
      <c r="A414" s="7" t="s">
        <v>605</v>
      </c>
      <c r="B414" s="8" t="s">
        <v>604</v>
      </c>
      <c r="C414" s="7" t="s">
        <v>12</v>
      </c>
      <c r="D414" s="7" t="s">
        <v>17</v>
      </c>
      <c r="E414" s="7" t="s">
        <v>18</v>
      </c>
      <c r="F414" s="9">
        <v>693.8</v>
      </c>
      <c r="G414" s="9">
        <v>166.18</v>
      </c>
      <c r="H414" s="7">
        <v>2</v>
      </c>
      <c r="I414" s="10">
        <f t="shared" si="12"/>
        <v>0.23952147592966275</v>
      </c>
      <c r="J414" s="7" t="str">
        <f t="shared" si="13"/>
        <v>Low</v>
      </c>
    </row>
    <row r="415" spans="1:10" x14ac:dyDescent="0.3">
      <c r="A415" s="7" t="s">
        <v>606</v>
      </c>
      <c r="B415" s="8" t="s">
        <v>607</v>
      </c>
      <c r="C415" s="7" t="s">
        <v>22</v>
      </c>
      <c r="D415" s="7" t="s">
        <v>38</v>
      </c>
      <c r="E415" s="7" t="s">
        <v>18</v>
      </c>
      <c r="F415" s="9">
        <v>2445.7199999999998</v>
      </c>
      <c r="G415" s="9">
        <v>794.23</v>
      </c>
      <c r="H415" s="7">
        <v>6</v>
      </c>
      <c r="I415" s="10">
        <f t="shared" si="12"/>
        <v>0.32474281602145794</v>
      </c>
      <c r="J415" s="7" t="str">
        <f t="shared" si="13"/>
        <v>Medium</v>
      </c>
    </row>
    <row r="416" spans="1:10" x14ac:dyDescent="0.3">
      <c r="A416" s="7" t="s">
        <v>608</v>
      </c>
      <c r="B416" s="8" t="s">
        <v>607</v>
      </c>
      <c r="C416" s="7" t="s">
        <v>20</v>
      </c>
      <c r="D416" s="7" t="s">
        <v>43</v>
      </c>
      <c r="E416" s="7" t="s">
        <v>24</v>
      </c>
      <c r="F416" s="9">
        <v>425.92</v>
      </c>
      <c r="G416" s="9">
        <v>114.29</v>
      </c>
      <c r="H416" s="7">
        <v>4</v>
      </c>
      <c r="I416" s="10">
        <f t="shared" si="12"/>
        <v>0.26833677685950413</v>
      </c>
      <c r="J416" s="7" t="str">
        <f t="shared" si="13"/>
        <v>Low</v>
      </c>
    </row>
    <row r="417" spans="1:10" x14ac:dyDescent="0.3">
      <c r="A417" s="7" t="s">
        <v>609</v>
      </c>
      <c r="B417" s="8" t="s">
        <v>610</v>
      </c>
      <c r="C417" s="7" t="s">
        <v>12</v>
      </c>
      <c r="D417" s="7" t="s">
        <v>27</v>
      </c>
      <c r="E417" s="7" t="s">
        <v>28</v>
      </c>
      <c r="F417" s="9">
        <v>664.7</v>
      </c>
      <c r="G417" s="9">
        <v>175.97</v>
      </c>
      <c r="H417" s="7">
        <v>2</v>
      </c>
      <c r="I417" s="10">
        <f t="shared" si="12"/>
        <v>0.26473597111478858</v>
      </c>
      <c r="J417" s="7" t="str">
        <f t="shared" si="13"/>
        <v>Low</v>
      </c>
    </row>
    <row r="418" spans="1:10" x14ac:dyDescent="0.3">
      <c r="A418" s="7" t="s">
        <v>611</v>
      </c>
      <c r="B418" s="8" t="s">
        <v>610</v>
      </c>
      <c r="C418" s="7" t="s">
        <v>12</v>
      </c>
      <c r="D418" s="7" t="s">
        <v>27</v>
      </c>
      <c r="E418" s="7" t="s">
        <v>28</v>
      </c>
      <c r="F418" s="9">
        <v>691.6</v>
      </c>
      <c r="G418" s="9">
        <v>192.07</v>
      </c>
      <c r="H418" s="7">
        <v>2</v>
      </c>
      <c r="I418" s="10">
        <f t="shared" si="12"/>
        <v>0.27771833429728165</v>
      </c>
      <c r="J418" s="7" t="str">
        <f t="shared" si="13"/>
        <v>Low</v>
      </c>
    </row>
    <row r="419" spans="1:10" x14ac:dyDescent="0.3">
      <c r="A419" s="7" t="s">
        <v>612</v>
      </c>
      <c r="B419" s="8" t="s">
        <v>613</v>
      </c>
      <c r="C419" s="7" t="s">
        <v>22</v>
      </c>
      <c r="D419" s="7" t="s">
        <v>38</v>
      </c>
      <c r="E419" s="7" t="s">
        <v>18</v>
      </c>
      <c r="F419" s="9">
        <v>804.42</v>
      </c>
      <c r="G419" s="9">
        <v>221.48</v>
      </c>
      <c r="H419" s="7">
        <v>2</v>
      </c>
      <c r="I419" s="10">
        <f t="shared" si="12"/>
        <v>0.2753288083339549</v>
      </c>
      <c r="J419" s="7" t="str">
        <f t="shared" si="13"/>
        <v>Low</v>
      </c>
    </row>
    <row r="420" spans="1:10" x14ac:dyDescent="0.3">
      <c r="A420" s="7" t="s">
        <v>614</v>
      </c>
      <c r="B420" s="8" t="s">
        <v>615</v>
      </c>
      <c r="C420" s="7" t="s">
        <v>12</v>
      </c>
      <c r="D420" s="7" t="s">
        <v>63</v>
      </c>
      <c r="E420" s="7" t="s">
        <v>28</v>
      </c>
      <c r="F420" s="9">
        <v>588.41999999999996</v>
      </c>
      <c r="G420" s="9">
        <v>265.5</v>
      </c>
      <c r="H420" s="7">
        <v>3</v>
      </c>
      <c r="I420" s="10">
        <f t="shared" si="12"/>
        <v>0.45120832058733562</v>
      </c>
      <c r="J420" s="7" t="str">
        <f t="shared" si="13"/>
        <v>Low</v>
      </c>
    </row>
    <row r="421" spans="1:10" x14ac:dyDescent="0.3">
      <c r="A421" s="7" t="s">
        <v>616</v>
      </c>
      <c r="B421" s="8" t="s">
        <v>615</v>
      </c>
      <c r="C421" s="7" t="s">
        <v>20</v>
      </c>
      <c r="D421" s="7" t="s">
        <v>74</v>
      </c>
      <c r="E421" s="7" t="s">
        <v>18</v>
      </c>
      <c r="F421" s="9">
        <v>242.71</v>
      </c>
      <c r="G421" s="9">
        <v>38.42</v>
      </c>
      <c r="H421" s="7">
        <v>1</v>
      </c>
      <c r="I421" s="10">
        <f t="shared" si="12"/>
        <v>0.15829590869762267</v>
      </c>
      <c r="J421" s="7" t="str">
        <f t="shared" si="13"/>
        <v>Low</v>
      </c>
    </row>
    <row r="422" spans="1:10" x14ac:dyDescent="0.3">
      <c r="A422" s="7" t="s">
        <v>617</v>
      </c>
      <c r="B422" s="8" t="s">
        <v>618</v>
      </c>
      <c r="C422" s="7" t="s">
        <v>32</v>
      </c>
      <c r="D422" s="7" t="s">
        <v>54</v>
      </c>
      <c r="E422" s="7" t="s">
        <v>28</v>
      </c>
      <c r="F422" s="9">
        <v>119.23</v>
      </c>
      <c r="G422" s="9">
        <v>40.17</v>
      </c>
      <c r="H422" s="7">
        <v>1</v>
      </c>
      <c r="I422" s="10">
        <f t="shared" si="12"/>
        <v>0.33691185104420029</v>
      </c>
      <c r="J422" s="7" t="str">
        <f t="shared" si="13"/>
        <v>Low</v>
      </c>
    </row>
    <row r="423" spans="1:10" x14ac:dyDescent="0.3">
      <c r="A423" s="7" t="s">
        <v>619</v>
      </c>
      <c r="B423" s="8" t="s">
        <v>620</v>
      </c>
      <c r="C423" s="7" t="s">
        <v>32</v>
      </c>
      <c r="D423" s="7" t="s">
        <v>70</v>
      </c>
      <c r="E423" s="7" t="s">
        <v>14</v>
      </c>
      <c r="F423" s="9">
        <v>1414.6</v>
      </c>
      <c r="G423" s="9">
        <v>282.76</v>
      </c>
      <c r="H423" s="7">
        <v>4</v>
      </c>
      <c r="I423" s="10">
        <f t="shared" si="12"/>
        <v>0.19988689382157501</v>
      </c>
      <c r="J423" s="7" t="str">
        <f t="shared" si="13"/>
        <v>Low</v>
      </c>
    </row>
    <row r="424" spans="1:10" x14ac:dyDescent="0.3">
      <c r="A424" s="7" t="s">
        <v>621</v>
      </c>
      <c r="B424" s="8" t="s">
        <v>620</v>
      </c>
      <c r="C424" s="7" t="s">
        <v>22</v>
      </c>
      <c r="D424" s="7" t="s">
        <v>27</v>
      </c>
      <c r="E424" s="7" t="s">
        <v>28</v>
      </c>
      <c r="F424" s="9">
        <v>687.72</v>
      </c>
      <c r="G424" s="9">
        <v>208.8</v>
      </c>
      <c r="H424" s="7">
        <v>2</v>
      </c>
      <c r="I424" s="10">
        <f t="shared" si="12"/>
        <v>0.30361193508986217</v>
      </c>
      <c r="J424" s="7" t="str">
        <f t="shared" si="13"/>
        <v>Low</v>
      </c>
    </row>
    <row r="425" spans="1:10" x14ac:dyDescent="0.3">
      <c r="A425" s="7" t="s">
        <v>622</v>
      </c>
      <c r="B425" s="8" t="s">
        <v>620</v>
      </c>
      <c r="C425" s="7" t="s">
        <v>22</v>
      </c>
      <c r="D425" s="7" t="s">
        <v>54</v>
      </c>
      <c r="E425" s="7" t="s">
        <v>28</v>
      </c>
      <c r="F425" s="9">
        <v>399.24</v>
      </c>
      <c r="G425" s="9">
        <v>154.16</v>
      </c>
      <c r="H425" s="7">
        <v>3</v>
      </c>
      <c r="I425" s="10">
        <f t="shared" si="12"/>
        <v>0.38613365394249072</v>
      </c>
      <c r="J425" s="7" t="str">
        <f t="shared" si="13"/>
        <v>Low</v>
      </c>
    </row>
    <row r="426" spans="1:10" x14ac:dyDescent="0.3">
      <c r="A426" s="7" t="s">
        <v>623</v>
      </c>
      <c r="B426" s="8" t="s">
        <v>620</v>
      </c>
      <c r="C426" s="7" t="s">
        <v>22</v>
      </c>
      <c r="D426" s="7" t="s">
        <v>79</v>
      </c>
      <c r="E426" s="7" t="s">
        <v>14</v>
      </c>
      <c r="F426" s="9">
        <v>498.48</v>
      </c>
      <c r="G426" s="9">
        <v>220.78</v>
      </c>
      <c r="H426" s="7">
        <v>3</v>
      </c>
      <c r="I426" s="10">
        <f t="shared" si="12"/>
        <v>0.44290643556411491</v>
      </c>
      <c r="J426" s="7" t="str">
        <f t="shared" si="13"/>
        <v>Low</v>
      </c>
    </row>
    <row r="427" spans="1:10" x14ac:dyDescent="0.3">
      <c r="A427" s="7" t="s">
        <v>624</v>
      </c>
      <c r="B427" s="8" t="s">
        <v>620</v>
      </c>
      <c r="C427" s="7" t="s">
        <v>20</v>
      </c>
      <c r="D427" s="7" t="s">
        <v>254</v>
      </c>
      <c r="E427" s="7" t="s">
        <v>24</v>
      </c>
      <c r="F427" s="9">
        <v>37.54</v>
      </c>
      <c r="G427" s="9">
        <v>13.91</v>
      </c>
      <c r="H427" s="7">
        <v>2</v>
      </c>
      <c r="I427" s="10">
        <f t="shared" si="12"/>
        <v>0.37053809270111882</v>
      </c>
      <c r="J427" s="7" t="str">
        <f t="shared" si="13"/>
        <v>Low</v>
      </c>
    </row>
    <row r="428" spans="1:10" x14ac:dyDescent="0.3">
      <c r="A428" s="7" t="s">
        <v>625</v>
      </c>
      <c r="B428" s="8" t="s">
        <v>620</v>
      </c>
      <c r="C428" s="7" t="s">
        <v>20</v>
      </c>
      <c r="D428" s="7" t="s">
        <v>13</v>
      </c>
      <c r="E428" s="7" t="s">
        <v>14</v>
      </c>
      <c r="F428" s="9">
        <v>1189.71</v>
      </c>
      <c r="G428" s="9">
        <v>320.18</v>
      </c>
      <c r="H428" s="7">
        <v>3</v>
      </c>
      <c r="I428" s="10">
        <f t="shared" si="12"/>
        <v>0.26912440846929081</v>
      </c>
      <c r="J428" s="7" t="str">
        <f t="shared" si="13"/>
        <v>Low</v>
      </c>
    </row>
    <row r="429" spans="1:10" x14ac:dyDescent="0.3">
      <c r="A429" s="7" t="s">
        <v>626</v>
      </c>
      <c r="B429" s="8" t="s">
        <v>627</v>
      </c>
      <c r="C429" s="7" t="s">
        <v>32</v>
      </c>
      <c r="D429" s="7" t="s">
        <v>57</v>
      </c>
      <c r="E429" s="7" t="s">
        <v>18</v>
      </c>
      <c r="F429" s="9">
        <v>168.68</v>
      </c>
      <c r="G429" s="9">
        <v>39.86</v>
      </c>
      <c r="H429" s="7">
        <v>1</v>
      </c>
      <c r="I429" s="10">
        <f t="shared" si="12"/>
        <v>0.23630543040075883</v>
      </c>
      <c r="J429" s="7" t="str">
        <f t="shared" si="13"/>
        <v>Low</v>
      </c>
    </row>
    <row r="430" spans="1:10" x14ac:dyDescent="0.3">
      <c r="A430" s="7" t="s">
        <v>628</v>
      </c>
      <c r="B430" s="8" t="s">
        <v>627</v>
      </c>
      <c r="C430" s="7" t="s">
        <v>12</v>
      </c>
      <c r="D430" s="7" t="s">
        <v>89</v>
      </c>
      <c r="E430" s="7" t="s">
        <v>24</v>
      </c>
      <c r="F430" s="9">
        <v>841.38</v>
      </c>
      <c r="G430" s="9">
        <v>221.06</v>
      </c>
      <c r="H430" s="7">
        <v>3</v>
      </c>
      <c r="I430" s="10">
        <f t="shared" si="12"/>
        <v>0.26273503054505692</v>
      </c>
      <c r="J430" s="7" t="str">
        <f t="shared" si="13"/>
        <v>Low</v>
      </c>
    </row>
    <row r="431" spans="1:10" x14ac:dyDescent="0.3">
      <c r="A431" s="7" t="s">
        <v>629</v>
      </c>
      <c r="B431" s="8" t="s">
        <v>627</v>
      </c>
      <c r="C431" s="7" t="s">
        <v>22</v>
      </c>
      <c r="D431" s="7" t="s">
        <v>85</v>
      </c>
      <c r="E431" s="7" t="s">
        <v>24</v>
      </c>
      <c r="F431" s="9">
        <v>378.71</v>
      </c>
      <c r="G431" s="9">
        <v>169.48</v>
      </c>
      <c r="H431" s="7">
        <v>1</v>
      </c>
      <c r="I431" s="10">
        <f t="shared" si="12"/>
        <v>0.44751920994956562</v>
      </c>
      <c r="J431" s="7" t="str">
        <f t="shared" si="13"/>
        <v>Low</v>
      </c>
    </row>
    <row r="432" spans="1:10" x14ac:dyDescent="0.3">
      <c r="A432" s="7" t="s">
        <v>630</v>
      </c>
      <c r="B432" s="8" t="s">
        <v>627</v>
      </c>
      <c r="C432" s="7" t="s">
        <v>12</v>
      </c>
      <c r="D432" s="7" t="s">
        <v>60</v>
      </c>
      <c r="E432" s="7" t="s">
        <v>28</v>
      </c>
      <c r="F432" s="9">
        <v>816.78</v>
      </c>
      <c r="G432" s="9">
        <v>346.34</v>
      </c>
      <c r="H432" s="7">
        <v>2</v>
      </c>
      <c r="I432" s="10">
        <f t="shared" si="12"/>
        <v>0.42403095080682679</v>
      </c>
      <c r="J432" s="7" t="str">
        <f t="shared" si="13"/>
        <v>Low</v>
      </c>
    </row>
    <row r="433" spans="1:10" x14ac:dyDescent="0.3">
      <c r="A433" s="7" t="s">
        <v>631</v>
      </c>
      <c r="B433" s="8" t="s">
        <v>627</v>
      </c>
      <c r="C433" s="7" t="s">
        <v>32</v>
      </c>
      <c r="D433" s="7" t="s">
        <v>41</v>
      </c>
      <c r="E433" s="7" t="s">
        <v>28</v>
      </c>
      <c r="F433" s="9">
        <v>815.13</v>
      </c>
      <c r="G433" s="9">
        <v>310.33999999999997</v>
      </c>
      <c r="H433" s="7">
        <v>3</v>
      </c>
      <c r="I433" s="10">
        <f t="shared" si="12"/>
        <v>0.38072454700477221</v>
      </c>
      <c r="J433" s="7" t="str">
        <f t="shared" si="13"/>
        <v>Low</v>
      </c>
    </row>
    <row r="434" spans="1:10" x14ac:dyDescent="0.3">
      <c r="A434" s="7" t="s">
        <v>632</v>
      </c>
      <c r="B434" s="8" t="s">
        <v>633</v>
      </c>
      <c r="C434" s="7" t="s">
        <v>22</v>
      </c>
      <c r="D434" s="7" t="s">
        <v>27</v>
      </c>
      <c r="E434" s="7" t="s">
        <v>28</v>
      </c>
      <c r="F434" s="9">
        <v>347.62</v>
      </c>
      <c r="G434" s="9">
        <v>105.48</v>
      </c>
      <c r="H434" s="7">
        <v>1</v>
      </c>
      <c r="I434" s="10">
        <f t="shared" si="12"/>
        <v>0.3034347851101778</v>
      </c>
      <c r="J434" s="7" t="str">
        <f t="shared" si="13"/>
        <v>Low</v>
      </c>
    </row>
    <row r="435" spans="1:10" x14ac:dyDescent="0.3">
      <c r="A435" s="7" t="s">
        <v>634</v>
      </c>
      <c r="B435" s="8" t="s">
        <v>635</v>
      </c>
      <c r="C435" s="7" t="s">
        <v>12</v>
      </c>
      <c r="D435" s="7" t="s">
        <v>54</v>
      </c>
      <c r="E435" s="7" t="s">
        <v>28</v>
      </c>
      <c r="F435" s="9">
        <v>133.71</v>
      </c>
      <c r="G435" s="9">
        <v>56.86</v>
      </c>
      <c r="H435" s="7">
        <v>1</v>
      </c>
      <c r="I435" s="10">
        <f t="shared" si="12"/>
        <v>0.42524867250018694</v>
      </c>
      <c r="J435" s="7" t="str">
        <f t="shared" si="13"/>
        <v>Low</v>
      </c>
    </row>
    <row r="436" spans="1:10" x14ac:dyDescent="0.3">
      <c r="A436" s="7" t="s">
        <v>636</v>
      </c>
      <c r="B436" s="8" t="s">
        <v>635</v>
      </c>
      <c r="C436" s="7" t="s">
        <v>20</v>
      </c>
      <c r="D436" s="7" t="s">
        <v>63</v>
      </c>
      <c r="E436" s="7" t="s">
        <v>28</v>
      </c>
      <c r="F436" s="9">
        <v>393.14</v>
      </c>
      <c r="G436" s="9">
        <v>183.26</v>
      </c>
      <c r="H436" s="7">
        <v>2</v>
      </c>
      <c r="I436" s="10">
        <f t="shared" si="12"/>
        <v>0.46614437604924452</v>
      </c>
      <c r="J436" s="7" t="str">
        <f t="shared" si="13"/>
        <v>Low</v>
      </c>
    </row>
    <row r="437" spans="1:10" x14ac:dyDescent="0.3">
      <c r="A437" s="7" t="s">
        <v>637</v>
      </c>
      <c r="B437" s="8" t="s">
        <v>638</v>
      </c>
      <c r="C437" s="7" t="s">
        <v>20</v>
      </c>
      <c r="D437" s="7" t="s">
        <v>17</v>
      </c>
      <c r="E437" s="7" t="s">
        <v>18</v>
      </c>
      <c r="F437" s="9">
        <v>391.98</v>
      </c>
      <c r="G437" s="9">
        <v>112.52</v>
      </c>
      <c r="H437" s="7">
        <v>1</v>
      </c>
      <c r="I437" s="10">
        <f t="shared" si="12"/>
        <v>0.28705546201336801</v>
      </c>
      <c r="J437" s="7" t="str">
        <f t="shared" si="13"/>
        <v>Low</v>
      </c>
    </row>
    <row r="438" spans="1:10" x14ac:dyDescent="0.3">
      <c r="A438" s="7" t="s">
        <v>639</v>
      </c>
      <c r="B438" s="8" t="s">
        <v>638</v>
      </c>
      <c r="C438" s="7" t="s">
        <v>32</v>
      </c>
      <c r="D438" s="7" t="s">
        <v>38</v>
      </c>
      <c r="E438" s="7" t="s">
        <v>18</v>
      </c>
      <c r="F438" s="9">
        <v>381.82</v>
      </c>
      <c r="G438" s="9">
        <v>97.36</v>
      </c>
      <c r="H438" s="7">
        <v>1</v>
      </c>
      <c r="I438" s="10">
        <f t="shared" si="12"/>
        <v>0.25498926195589544</v>
      </c>
      <c r="J438" s="7" t="str">
        <f t="shared" si="13"/>
        <v>Low</v>
      </c>
    </row>
    <row r="439" spans="1:10" x14ac:dyDescent="0.3">
      <c r="A439" s="7" t="s">
        <v>640</v>
      </c>
      <c r="B439" s="8" t="s">
        <v>638</v>
      </c>
      <c r="C439" s="7" t="s">
        <v>20</v>
      </c>
      <c r="D439" s="7" t="s">
        <v>34</v>
      </c>
      <c r="E439" s="7" t="s">
        <v>24</v>
      </c>
      <c r="F439" s="9">
        <v>1126.95</v>
      </c>
      <c r="G439" s="9">
        <v>330.82</v>
      </c>
      <c r="H439" s="7">
        <v>3</v>
      </c>
      <c r="I439" s="10">
        <f t="shared" si="12"/>
        <v>0.29355339633524113</v>
      </c>
      <c r="J439" s="7" t="str">
        <f t="shared" si="13"/>
        <v>Low</v>
      </c>
    </row>
    <row r="440" spans="1:10" x14ac:dyDescent="0.3">
      <c r="A440" s="7" t="s">
        <v>641</v>
      </c>
      <c r="B440" s="8" t="s">
        <v>642</v>
      </c>
      <c r="C440" s="7" t="s">
        <v>20</v>
      </c>
      <c r="D440" s="7" t="s">
        <v>57</v>
      </c>
      <c r="E440" s="7" t="s">
        <v>18</v>
      </c>
      <c r="F440" s="9">
        <v>496.83</v>
      </c>
      <c r="G440" s="9">
        <v>132.26</v>
      </c>
      <c r="H440" s="7">
        <v>3</v>
      </c>
      <c r="I440" s="10">
        <f t="shared" si="12"/>
        <v>0.26620775718052453</v>
      </c>
      <c r="J440" s="7" t="str">
        <f t="shared" si="13"/>
        <v>Low</v>
      </c>
    </row>
    <row r="441" spans="1:10" x14ac:dyDescent="0.3">
      <c r="A441" s="7" t="s">
        <v>643</v>
      </c>
      <c r="B441" s="8" t="s">
        <v>642</v>
      </c>
      <c r="C441" s="7" t="s">
        <v>20</v>
      </c>
      <c r="D441" s="7" t="s">
        <v>38</v>
      </c>
      <c r="E441" s="7" t="s">
        <v>18</v>
      </c>
      <c r="F441" s="9">
        <v>786.5</v>
      </c>
      <c r="G441" s="9">
        <v>200.82</v>
      </c>
      <c r="H441" s="7">
        <v>2</v>
      </c>
      <c r="I441" s="10">
        <f t="shared" si="12"/>
        <v>0.25533375715193896</v>
      </c>
      <c r="J441" s="7" t="str">
        <f t="shared" si="13"/>
        <v>Low</v>
      </c>
    </row>
    <row r="442" spans="1:10" x14ac:dyDescent="0.3">
      <c r="A442" s="7" t="s">
        <v>644</v>
      </c>
      <c r="B442" s="8" t="s">
        <v>642</v>
      </c>
      <c r="C442" s="7" t="s">
        <v>22</v>
      </c>
      <c r="D442" s="7" t="s">
        <v>23</v>
      </c>
      <c r="E442" s="7" t="s">
        <v>24</v>
      </c>
      <c r="F442" s="9">
        <v>489.85</v>
      </c>
      <c r="G442" s="9">
        <v>132.51</v>
      </c>
      <c r="H442" s="7">
        <v>5</v>
      </c>
      <c r="I442" s="10">
        <f t="shared" si="12"/>
        <v>0.27051138103501071</v>
      </c>
      <c r="J442" s="7" t="str">
        <f t="shared" si="13"/>
        <v>Low</v>
      </c>
    </row>
    <row r="443" spans="1:10" x14ac:dyDescent="0.3">
      <c r="A443" s="7" t="s">
        <v>645</v>
      </c>
      <c r="B443" s="8" t="s">
        <v>642</v>
      </c>
      <c r="C443" s="7" t="s">
        <v>32</v>
      </c>
      <c r="D443" s="7" t="s">
        <v>85</v>
      </c>
      <c r="E443" s="7" t="s">
        <v>24</v>
      </c>
      <c r="F443" s="9">
        <v>1917.9</v>
      </c>
      <c r="G443" s="9">
        <v>928.11</v>
      </c>
      <c r="H443" s="7">
        <v>5</v>
      </c>
      <c r="I443" s="10">
        <f t="shared" si="12"/>
        <v>0.48391991240419208</v>
      </c>
      <c r="J443" s="7" t="str">
        <f t="shared" si="13"/>
        <v>Medium</v>
      </c>
    </row>
    <row r="444" spans="1:10" x14ac:dyDescent="0.3">
      <c r="A444" s="7" t="s">
        <v>646</v>
      </c>
      <c r="B444" s="8" t="s">
        <v>642</v>
      </c>
      <c r="C444" s="7" t="s">
        <v>32</v>
      </c>
      <c r="D444" s="7" t="s">
        <v>23</v>
      </c>
      <c r="E444" s="7" t="s">
        <v>24</v>
      </c>
      <c r="F444" s="9">
        <v>1022</v>
      </c>
      <c r="G444" s="9">
        <v>264.77</v>
      </c>
      <c r="H444" s="7">
        <v>10</v>
      </c>
      <c r="I444" s="10">
        <f t="shared" si="12"/>
        <v>0.25907045009784735</v>
      </c>
      <c r="J444" s="7" t="str">
        <f t="shared" si="13"/>
        <v>Low</v>
      </c>
    </row>
    <row r="445" spans="1:10" x14ac:dyDescent="0.3">
      <c r="A445" s="7" t="s">
        <v>647</v>
      </c>
      <c r="B445" s="8" t="s">
        <v>642</v>
      </c>
      <c r="C445" s="7" t="s">
        <v>22</v>
      </c>
      <c r="D445" s="7" t="s">
        <v>54</v>
      </c>
      <c r="E445" s="7" t="s">
        <v>28</v>
      </c>
      <c r="F445" s="9">
        <v>616.65</v>
      </c>
      <c r="G445" s="9">
        <v>215.47</v>
      </c>
      <c r="H445" s="7">
        <v>5</v>
      </c>
      <c r="I445" s="10">
        <f t="shared" si="12"/>
        <v>0.34942025460147574</v>
      </c>
      <c r="J445" s="7" t="str">
        <f t="shared" si="13"/>
        <v>Low</v>
      </c>
    </row>
    <row r="446" spans="1:10" x14ac:dyDescent="0.3">
      <c r="A446" s="7" t="s">
        <v>648</v>
      </c>
      <c r="B446" s="8" t="s">
        <v>649</v>
      </c>
      <c r="C446" s="7" t="s">
        <v>22</v>
      </c>
      <c r="D446" s="7" t="s">
        <v>43</v>
      </c>
      <c r="E446" s="7" t="s">
        <v>24</v>
      </c>
      <c r="F446" s="9">
        <v>104.86</v>
      </c>
      <c r="G446" s="9">
        <v>27.9</v>
      </c>
      <c r="H446" s="7">
        <v>1</v>
      </c>
      <c r="I446" s="10">
        <f t="shared" si="12"/>
        <v>0.26606904444020596</v>
      </c>
      <c r="J446" s="7" t="str">
        <f t="shared" si="13"/>
        <v>Low</v>
      </c>
    </row>
    <row r="447" spans="1:10" x14ac:dyDescent="0.3">
      <c r="A447" s="7" t="s">
        <v>650</v>
      </c>
      <c r="B447" s="8" t="s">
        <v>649</v>
      </c>
      <c r="C447" s="7" t="s">
        <v>12</v>
      </c>
      <c r="D447" s="7" t="s">
        <v>50</v>
      </c>
      <c r="E447" s="7" t="s">
        <v>14</v>
      </c>
      <c r="F447" s="9">
        <v>150.38999999999999</v>
      </c>
      <c r="G447" s="9">
        <v>62.57</v>
      </c>
      <c r="H447" s="7">
        <v>3</v>
      </c>
      <c r="I447" s="10">
        <f t="shared" si="12"/>
        <v>0.41605159917547713</v>
      </c>
      <c r="J447" s="7" t="str">
        <f t="shared" si="13"/>
        <v>Low</v>
      </c>
    </row>
    <row r="448" spans="1:10" x14ac:dyDescent="0.3">
      <c r="A448" s="7" t="s">
        <v>651</v>
      </c>
      <c r="B448" s="8" t="s">
        <v>652</v>
      </c>
      <c r="C448" s="7" t="s">
        <v>22</v>
      </c>
      <c r="D448" s="7" t="s">
        <v>54</v>
      </c>
      <c r="E448" s="7" t="s">
        <v>28</v>
      </c>
      <c r="F448" s="9">
        <v>130.16999999999999</v>
      </c>
      <c r="G448" s="9">
        <v>51.67</v>
      </c>
      <c r="H448" s="7">
        <v>1</v>
      </c>
      <c r="I448" s="10">
        <f t="shared" si="12"/>
        <v>0.39694245986018289</v>
      </c>
      <c r="J448" s="7" t="str">
        <f t="shared" si="13"/>
        <v>Low</v>
      </c>
    </row>
    <row r="449" spans="1:10" x14ac:dyDescent="0.3">
      <c r="A449" s="7" t="s">
        <v>653</v>
      </c>
      <c r="B449" s="8" t="s">
        <v>652</v>
      </c>
      <c r="C449" s="7" t="s">
        <v>32</v>
      </c>
      <c r="D449" s="7" t="s">
        <v>38</v>
      </c>
      <c r="E449" s="7" t="s">
        <v>18</v>
      </c>
      <c r="F449" s="9">
        <v>791.88</v>
      </c>
      <c r="G449" s="9">
        <v>232.64</v>
      </c>
      <c r="H449" s="7">
        <v>2</v>
      </c>
      <c r="I449" s="10">
        <f t="shared" si="12"/>
        <v>0.29378188614436529</v>
      </c>
      <c r="J449" s="7" t="str">
        <f t="shared" si="13"/>
        <v>Low</v>
      </c>
    </row>
    <row r="450" spans="1:10" x14ac:dyDescent="0.3">
      <c r="A450" s="7" t="s">
        <v>654</v>
      </c>
      <c r="B450" s="8" t="s">
        <v>655</v>
      </c>
      <c r="C450" s="7" t="s">
        <v>32</v>
      </c>
      <c r="D450" s="7" t="s">
        <v>41</v>
      </c>
      <c r="E450" s="7" t="s">
        <v>28</v>
      </c>
      <c r="F450" s="9">
        <v>280.45</v>
      </c>
      <c r="G450" s="9">
        <v>122.63</v>
      </c>
      <c r="H450" s="7">
        <v>1</v>
      </c>
      <c r="I450" s="10">
        <f t="shared" ref="I450:I513" si="14">IFERROR(G450/F450,0)</f>
        <v>0.43726154394722766</v>
      </c>
      <c r="J450" s="7" t="str">
        <f t="shared" ref="J450:J513" si="15">IF(F450&gt;5000,"High",IF(F450&gt;1500,"Medium","Low"))</f>
        <v>Low</v>
      </c>
    </row>
    <row r="451" spans="1:10" x14ac:dyDescent="0.3">
      <c r="A451" s="7" t="s">
        <v>656</v>
      </c>
      <c r="B451" s="8" t="s">
        <v>657</v>
      </c>
      <c r="C451" s="7" t="s">
        <v>32</v>
      </c>
      <c r="D451" s="7" t="s">
        <v>34</v>
      </c>
      <c r="E451" s="7" t="s">
        <v>24</v>
      </c>
      <c r="F451" s="9">
        <v>747.38</v>
      </c>
      <c r="G451" s="9">
        <v>200.17</v>
      </c>
      <c r="H451" s="7">
        <v>2</v>
      </c>
      <c r="I451" s="10">
        <f t="shared" si="14"/>
        <v>0.26782894912895716</v>
      </c>
      <c r="J451" s="7" t="str">
        <f t="shared" si="15"/>
        <v>Low</v>
      </c>
    </row>
    <row r="452" spans="1:10" x14ac:dyDescent="0.3">
      <c r="A452" s="7" t="s">
        <v>658</v>
      </c>
      <c r="B452" s="8" t="s">
        <v>657</v>
      </c>
      <c r="C452" s="7" t="s">
        <v>12</v>
      </c>
      <c r="D452" s="7" t="s">
        <v>23</v>
      </c>
      <c r="E452" s="7" t="s">
        <v>24</v>
      </c>
      <c r="F452" s="9">
        <v>98.72</v>
      </c>
      <c r="G452" s="9">
        <v>21.94</v>
      </c>
      <c r="H452" s="7">
        <v>1</v>
      </c>
      <c r="I452" s="10">
        <f t="shared" si="14"/>
        <v>0.22224473257698543</v>
      </c>
      <c r="J452" s="7" t="str">
        <f t="shared" si="15"/>
        <v>Low</v>
      </c>
    </row>
    <row r="453" spans="1:10" x14ac:dyDescent="0.3">
      <c r="A453" s="7" t="s">
        <v>659</v>
      </c>
      <c r="B453" s="8" t="s">
        <v>660</v>
      </c>
      <c r="C453" s="7" t="s">
        <v>12</v>
      </c>
      <c r="D453" s="7" t="s">
        <v>79</v>
      </c>
      <c r="E453" s="7" t="s">
        <v>14</v>
      </c>
      <c r="F453" s="9">
        <v>922.2</v>
      </c>
      <c r="G453" s="9">
        <v>339.62</v>
      </c>
      <c r="H453" s="7">
        <v>6</v>
      </c>
      <c r="I453" s="10">
        <f t="shared" si="14"/>
        <v>0.36827152461505097</v>
      </c>
      <c r="J453" s="7" t="str">
        <f t="shared" si="15"/>
        <v>Low</v>
      </c>
    </row>
    <row r="454" spans="1:10" x14ac:dyDescent="0.3">
      <c r="A454" s="7" t="s">
        <v>661</v>
      </c>
      <c r="B454" s="8" t="s">
        <v>662</v>
      </c>
      <c r="C454" s="7" t="s">
        <v>12</v>
      </c>
      <c r="D454" s="7" t="s">
        <v>34</v>
      </c>
      <c r="E454" s="7" t="s">
        <v>24</v>
      </c>
      <c r="F454" s="9">
        <v>352.09</v>
      </c>
      <c r="G454" s="9">
        <v>73.930000000000007</v>
      </c>
      <c r="H454" s="7">
        <v>1</v>
      </c>
      <c r="I454" s="10">
        <f t="shared" si="14"/>
        <v>0.20997472237212081</v>
      </c>
      <c r="J454" s="7" t="str">
        <f t="shared" si="15"/>
        <v>Low</v>
      </c>
    </row>
    <row r="455" spans="1:10" x14ac:dyDescent="0.3">
      <c r="A455" s="7" t="s">
        <v>663</v>
      </c>
      <c r="B455" s="8" t="s">
        <v>664</v>
      </c>
      <c r="C455" s="7" t="s">
        <v>22</v>
      </c>
      <c r="D455" s="7" t="s">
        <v>43</v>
      </c>
      <c r="E455" s="7" t="s">
        <v>24</v>
      </c>
      <c r="F455" s="9">
        <v>207.22</v>
      </c>
      <c r="G455" s="9">
        <v>54.4</v>
      </c>
      <c r="H455" s="7">
        <v>2</v>
      </c>
      <c r="I455" s="10">
        <f t="shared" si="14"/>
        <v>0.26252292249782838</v>
      </c>
      <c r="J455" s="7" t="str">
        <f t="shared" si="15"/>
        <v>Low</v>
      </c>
    </row>
    <row r="456" spans="1:10" x14ac:dyDescent="0.3">
      <c r="A456" s="7" t="s">
        <v>665</v>
      </c>
      <c r="B456" s="8" t="s">
        <v>666</v>
      </c>
      <c r="C456" s="7" t="s">
        <v>20</v>
      </c>
      <c r="D456" s="7" t="s">
        <v>27</v>
      </c>
      <c r="E456" s="7" t="s">
        <v>28</v>
      </c>
      <c r="F456" s="9">
        <v>638.52</v>
      </c>
      <c r="G456" s="9">
        <v>129.62</v>
      </c>
      <c r="H456" s="7">
        <v>2</v>
      </c>
      <c r="I456" s="10">
        <f t="shared" si="14"/>
        <v>0.20300068909352881</v>
      </c>
      <c r="J456" s="7" t="str">
        <f t="shared" si="15"/>
        <v>Low</v>
      </c>
    </row>
    <row r="457" spans="1:10" x14ac:dyDescent="0.3">
      <c r="A457" s="7" t="s">
        <v>667</v>
      </c>
      <c r="B457" s="8" t="s">
        <v>668</v>
      </c>
      <c r="C457" s="7" t="s">
        <v>32</v>
      </c>
      <c r="D457" s="7" t="s">
        <v>70</v>
      </c>
      <c r="E457" s="7" t="s">
        <v>14</v>
      </c>
      <c r="F457" s="9">
        <v>1403</v>
      </c>
      <c r="G457" s="9">
        <v>314.45</v>
      </c>
      <c r="H457" s="7">
        <v>4</v>
      </c>
      <c r="I457" s="10">
        <f t="shared" si="14"/>
        <v>0.22412687099073414</v>
      </c>
      <c r="J457" s="7" t="str">
        <f t="shared" si="15"/>
        <v>Low</v>
      </c>
    </row>
    <row r="458" spans="1:10" x14ac:dyDescent="0.3">
      <c r="A458" s="7" t="s">
        <v>669</v>
      </c>
      <c r="B458" s="8" t="s">
        <v>668</v>
      </c>
      <c r="C458" s="7" t="s">
        <v>20</v>
      </c>
      <c r="D458" s="7" t="s">
        <v>50</v>
      </c>
      <c r="E458" s="7" t="s">
        <v>14</v>
      </c>
      <c r="F458" s="9">
        <v>143.88</v>
      </c>
      <c r="G458" s="9">
        <v>59.43</v>
      </c>
      <c r="H458" s="7">
        <v>3</v>
      </c>
      <c r="I458" s="10">
        <f t="shared" si="14"/>
        <v>0.41305254378648876</v>
      </c>
      <c r="J458" s="7" t="str">
        <f t="shared" si="15"/>
        <v>Low</v>
      </c>
    </row>
    <row r="459" spans="1:10" x14ac:dyDescent="0.3">
      <c r="A459" s="7" t="s">
        <v>670</v>
      </c>
      <c r="B459" s="8" t="s">
        <v>668</v>
      </c>
      <c r="C459" s="7" t="s">
        <v>12</v>
      </c>
      <c r="D459" s="7" t="s">
        <v>27</v>
      </c>
      <c r="E459" s="7" t="s">
        <v>28</v>
      </c>
      <c r="F459" s="9">
        <v>1740.5</v>
      </c>
      <c r="G459" s="9">
        <v>540.53</v>
      </c>
      <c r="H459" s="7">
        <v>5</v>
      </c>
      <c r="I459" s="10">
        <f t="shared" si="14"/>
        <v>0.310560183855214</v>
      </c>
      <c r="J459" s="7" t="str">
        <f t="shared" si="15"/>
        <v>Medium</v>
      </c>
    </row>
    <row r="460" spans="1:10" x14ac:dyDescent="0.3">
      <c r="A460" s="7" t="s">
        <v>671</v>
      </c>
      <c r="B460" s="8" t="s">
        <v>668</v>
      </c>
      <c r="C460" s="7" t="s">
        <v>22</v>
      </c>
      <c r="D460" s="7" t="s">
        <v>63</v>
      </c>
      <c r="E460" s="7" t="s">
        <v>28</v>
      </c>
      <c r="F460" s="9">
        <v>359.74</v>
      </c>
      <c r="G460" s="9">
        <v>142.27000000000001</v>
      </c>
      <c r="H460" s="7">
        <v>2</v>
      </c>
      <c r="I460" s="10">
        <f t="shared" si="14"/>
        <v>0.39548006893867793</v>
      </c>
      <c r="J460" s="7" t="str">
        <f t="shared" si="15"/>
        <v>Low</v>
      </c>
    </row>
    <row r="461" spans="1:10" x14ac:dyDescent="0.3">
      <c r="A461" s="7" t="s">
        <v>672</v>
      </c>
      <c r="B461" s="8" t="s">
        <v>673</v>
      </c>
      <c r="C461" s="7" t="s">
        <v>20</v>
      </c>
      <c r="D461" s="7" t="s">
        <v>70</v>
      </c>
      <c r="E461" s="7" t="s">
        <v>14</v>
      </c>
      <c r="F461" s="9">
        <v>335.96</v>
      </c>
      <c r="G461" s="9">
        <v>66.5</v>
      </c>
      <c r="H461" s="7">
        <v>1</v>
      </c>
      <c r="I461" s="10">
        <f t="shared" si="14"/>
        <v>0.19794023097987856</v>
      </c>
      <c r="J461" s="7" t="str">
        <f t="shared" si="15"/>
        <v>Low</v>
      </c>
    </row>
    <row r="462" spans="1:10" x14ac:dyDescent="0.3">
      <c r="A462" s="7" t="s">
        <v>674</v>
      </c>
      <c r="B462" s="8" t="s">
        <v>675</v>
      </c>
      <c r="C462" s="7" t="s">
        <v>12</v>
      </c>
      <c r="D462" s="7" t="s">
        <v>85</v>
      </c>
      <c r="E462" s="7" t="s">
        <v>24</v>
      </c>
      <c r="F462" s="9">
        <v>379.35</v>
      </c>
      <c r="G462" s="9">
        <v>168.02</v>
      </c>
      <c r="H462" s="7">
        <v>1</v>
      </c>
      <c r="I462" s="10">
        <f t="shared" si="14"/>
        <v>0.44291551337814683</v>
      </c>
      <c r="J462" s="7" t="str">
        <f t="shared" si="15"/>
        <v>Low</v>
      </c>
    </row>
    <row r="463" spans="1:10" x14ac:dyDescent="0.3">
      <c r="A463" s="7" t="s">
        <v>676</v>
      </c>
      <c r="B463" s="8" t="s">
        <v>677</v>
      </c>
      <c r="C463" s="7" t="s">
        <v>32</v>
      </c>
      <c r="D463" s="7" t="s">
        <v>43</v>
      </c>
      <c r="E463" s="7" t="s">
        <v>24</v>
      </c>
      <c r="F463" s="9">
        <v>322.35000000000002</v>
      </c>
      <c r="G463" s="9">
        <v>99.94</v>
      </c>
      <c r="H463" s="7">
        <v>3</v>
      </c>
      <c r="I463" s="10">
        <f t="shared" si="14"/>
        <v>0.31003567550798816</v>
      </c>
      <c r="J463" s="7" t="str">
        <f t="shared" si="15"/>
        <v>Low</v>
      </c>
    </row>
    <row r="464" spans="1:10" x14ac:dyDescent="0.3">
      <c r="A464" s="7" t="s">
        <v>678</v>
      </c>
      <c r="B464" s="8" t="s">
        <v>677</v>
      </c>
      <c r="C464" s="7" t="s">
        <v>20</v>
      </c>
      <c r="D464" s="7" t="s">
        <v>17</v>
      </c>
      <c r="E464" s="7" t="s">
        <v>18</v>
      </c>
      <c r="F464" s="9">
        <v>351.62</v>
      </c>
      <c r="G464" s="9">
        <v>78.03</v>
      </c>
      <c r="H464" s="7">
        <v>1</v>
      </c>
      <c r="I464" s="10">
        <f t="shared" si="14"/>
        <v>0.22191570445367156</v>
      </c>
      <c r="J464" s="7" t="str">
        <f t="shared" si="15"/>
        <v>Low</v>
      </c>
    </row>
    <row r="465" spans="1:10" x14ac:dyDescent="0.3">
      <c r="A465" s="7" t="s">
        <v>679</v>
      </c>
      <c r="B465" s="8" t="s">
        <v>677</v>
      </c>
      <c r="C465" s="7" t="s">
        <v>32</v>
      </c>
      <c r="D465" s="7" t="s">
        <v>50</v>
      </c>
      <c r="E465" s="7" t="s">
        <v>14</v>
      </c>
      <c r="F465" s="9">
        <v>94.86</v>
      </c>
      <c r="G465" s="9">
        <v>40.72</v>
      </c>
      <c r="H465" s="7">
        <v>2</v>
      </c>
      <c r="I465" s="10">
        <f t="shared" si="14"/>
        <v>0.4292641787897955</v>
      </c>
      <c r="J465" s="7" t="str">
        <f t="shared" si="15"/>
        <v>Low</v>
      </c>
    </row>
    <row r="466" spans="1:10" x14ac:dyDescent="0.3">
      <c r="A466" s="7" t="s">
        <v>680</v>
      </c>
      <c r="B466" s="8" t="s">
        <v>681</v>
      </c>
      <c r="C466" s="7" t="s">
        <v>12</v>
      </c>
      <c r="D466" s="7" t="s">
        <v>79</v>
      </c>
      <c r="E466" s="7" t="s">
        <v>14</v>
      </c>
      <c r="F466" s="9">
        <v>151.18</v>
      </c>
      <c r="G466" s="9">
        <v>53</v>
      </c>
      <c r="H466" s="7">
        <v>1</v>
      </c>
      <c r="I466" s="10">
        <f t="shared" si="14"/>
        <v>0.35057547294615687</v>
      </c>
      <c r="J466" s="7" t="str">
        <f t="shared" si="15"/>
        <v>Low</v>
      </c>
    </row>
    <row r="467" spans="1:10" x14ac:dyDescent="0.3">
      <c r="A467" s="7" t="s">
        <v>682</v>
      </c>
      <c r="B467" s="8" t="s">
        <v>683</v>
      </c>
      <c r="C467" s="7" t="s">
        <v>20</v>
      </c>
      <c r="D467" s="7" t="s">
        <v>112</v>
      </c>
      <c r="E467" s="7" t="s">
        <v>14</v>
      </c>
      <c r="F467" s="9">
        <v>2206.25</v>
      </c>
      <c r="G467" s="9">
        <v>827.53</v>
      </c>
      <c r="H467" s="7">
        <v>5</v>
      </c>
      <c r="I467" s="10">
        <f t="shared" si="14"/>
        <v>0.37508441926345609</v>
      </c>
      <c r="J467" s="7" t="str">
        <f t="shared" si="15"/>
        <v>Medium</v>
      </c>
    </row>
    <row r="468" spans="1:10" x14ac:dyDescent="0.3">
      <c r="A468" s="7" t="s">
        <v>684</v>
      </c>
      <c r="B468" s="8" t="s">
        <v>685</v>
      </c>
      <c r="C468" s="7" t="s">
        <v>12</v>
      </c>
      <c r="D468" s="7" t="s">
        <v>54</v>
      </c>
      <c r="E468" s="7" t="s">
        <v>28</v>
      </c>
      <c r="F468" s="9">
        <v>259.95999999999998</v>
      </c>
      <c r="G468" s="9">
        <v>95.76</v>
      </c>
      <c r="H468" s="7">
        <v>2</v>
      </c>
      <c r="I468" s="10">
        <f t="shared" si="14"/>
        <v>0.36836436374826903</v>
      </c>
      <c r="J468" s="7" t="str">
        <f t="shared" si="15"/>
        <v>Low</v>
      </c>
    </row>
    <row r="469" spans="1:10" x14ac:dyDescent="0.3">
      <c r="A469" s="7" t="s">
        <v>686</v>
      </c>
      <c r="B469" s="8" t="s">
        <v>685</v>
      </c>
      <c r="C469" s="7" t="s">
        <v>20</v>
      </c>
      <c r="D469" s="7" t="s">
        <v>27</v>
      </c>
      <c r="E469" s="7" t="s">
        <v>28</v>
      </c>
      <c r="F469" s="9">
        <v>1720.35</v>
      </c>
      <c r="G469" s="9">
        <v>509.84</v>
      </c>
      <c r="H469" s="7">
        <v>5</v>
      </c>
      <c r="I469" s="10">
        <f t="shared" si="14"/>
        <v>0.29635829918330575</v>
      </c>
      <c r="J469" s="7" t="str">
        <f t="shared" si="15"/>
        <v>Medium</v>
      </c>
    </row>
    <row r="470" spans="1:10" x14ac:dyDescent="0.3">
      <c r="A470" s="7" t="s">
        <v>687</v>
      </c>
      <c r="B470" s="8" t="s">
        <v>688</v>
      </c>
      <c r="C470" s="7" t="s">
        <v>32</v>
      </c>
      <c r="D470" s="7" t="s">
        <v>89</v>
      </c>
      <c r="E470" s="7" t="s">
        <v>24</v>
      </c>
      <c r="F470" s="9">
        <v>845.88</v>
      </c>
      <c r="G470" s="9">
        <v>219.63</v>
      </c>
      <c r="H470" s="7">
        <v>3</v>
      </c>
      <c r="I470" s="10">
        <f t="shared" si="14"/>
        <v>0.2596467584054476</v>
      </c>
      <c r="J470" s="7" t="str">
        <f t="shared" si="15"/>
        <v>Low</v>
      </c>
    </row>
    <row r="471" spans="1:10" x14ac:dyDescent="0.3">
      <c r="A471" s="7" t="s">
        <v>689</v>
      </c>
      <c r="B471" s="8" t="s">
        <v>688</v>
      </c>
      <c r="C471" s="7" t="s">
        <v>22</v>
      </c>
      <c r="D471" s="7" t="s">
        <v>57</v>
      </c>
      <c r="E471" s="7" t="s">
        <v>18</v>
      </c>
      <c r="F471" s="9">
        <v>333.96</v>
      </c>
      <c r="G471" s="9">
        <v>77.66</v>
      </c>
      <c r="H471" s="7">
        <v>2</v>
      </c>
      <c r="I471" s="10">
        <f t="shared" si="14"/>
        <v>0.23254281949934125</v>
      </c>
      <c r="J471" s="7" t="str">
        <f t="shared" si="15"/>
        <v>Low</v>
      </c>
    </row>
    <row r="472" spans="1:10" x14ac:dyDescent="0.3">
      <c r="A472" s="7" t="s">
        <v>690</v>
      </c>
      <c r="B472" s="8" t="s">
        <v>691</v>
      </c>
      <c r="C472" s="7" t="s">
        <v>22</v>
      </c>
      <c r="D472" s="7" t="s">
        <v>63</v>
      </c>
      <c r="E472" s="7" t="s">
        <v>28</v>
      </c>
      <c r="F472" s="9">
        <v>184.05</v>
      </c>
      <c r="G472" s="9">
        <v>71.430000000000007</v>
      </c>
      <c r="H472" s="7">
        <v>1</v>
      </c>
      <c r="I472" s="10">
        <f t="shared" si="14"/>
        <v>0.38810105949470253</v>
      </c>
      <c r="J472" s="7" t="str">
        <f t="shared" si="15"/>
        <v>Low</v>
      </c>
    </row>
    <row r="473" spans="1:10" x14ac:dyDescent="0.3">
      <c r="A473" s="7" t="s">
        <v>692</v>
      </c>
      <c r="B473" s="8" t="s">
        <v>691</v>
      </c>
      <c r="C473" s="7" t="s">
        <v>32</v>
      </c>
      <c r="D473" s="7" t="s">
        <v>85</v>
      </c>
      <c r="E473" s="7" t="s">
        <v>24</v>
      </c>
      <c r="F473" s="9">
        <v>1480.12</v>
      </c>
      <c r="G473" s="9">
        <v>657.21</v>
      </c>
      <c r="H473" s="7">
        <v>4</v>
      </c>
      <c r="I473" s="10">
        <f t="shared" si="14"/>
        <v>0.44402480879928657</v>
      </c>
      <c r="J473" s="7" t="str">
        <f t="shared" si="15"/>
        <v>Low</v>
      </c>
    </row>
    <row r="474" spans="1:10" x14ac:dyDescent="0.3">
      <c r="A474" s="7" t="s">
        <v>693</v>
      </c>
      <c r="B474" s="8" t="s">
        <v>691</v>
      </c>
      <c r="C474" s="7" t="s">
        <v>32</v>
      </c>
      <c r="D474" s="7" t="s">
        <v>43</v>
      </c>
      <c r="E474" s="7" t="s">
        <v>24</v>
      </c>
      <c r="F474" s="9">
        <v>523.04999999999995</v>
      </c>
      <c r="G474" s="9">
        <v>126.28</v>
      </c>
      <c r="H474" s="7">
        <v>5</v>
      </c>
      <c r="I474" s="10">
        <f t="shared" si="14"/>
        <v>0.24143007360672977</v>
      </c>
      <c r="J474" s="7" t="str">
        <f t="shared" si="15"/>
        <v>Low</v>
      </c>
    </row>
    <row r="475" spans="1:10" x14ac:dyDescent="0.3">
      <c r="A475" s="7" t="s">
        <v>694</v>
      </c>
      <c r="B475" s="8" t="s">
        <v>691</v>
      </c>
      <c r="C475" s="7" t="s">
        <v>20</v>
      </c>
      <c r="D475" s="7" t="s">
        <v>23</v>
      </c>
      <c r="E475" s="7" t="s">
        <v>24</v>
      </c>
      <c r="F475" s="9">
        <v>295.70999999999998</v>
      </c>
      <c r="G475" s="9">
        <v>80.55</v>
      </c>
      <c r="H475" s="7">
        <v>3</v>
      </c>
      <c r="I475" s="10">
        <f t="shared" si="14"/>
        <v>0.27239525210510296</v>
      </c>
      <c r="J475" s="7" t="str">
        <f t="shared" si="15"/>
        <v>Low</v>
      </c>
    </row>
    <row r="476" spans="1:10" x14ac:dyDescent="0.3">
      <c r="A476" s="7" t="s">
        <v>695</v>
      </c>
      <c r="B476" s="8" t="s">
        <v>696</v>
      </c>
      <c r="C476" s="7" t="s">
        <v>20</v>
      </c>
      <c r="D476" s="7" t="s">
        <v>27</v>
      </c>
      <c r="E476" s="7" t="s">
        <v>28</v>
      </c>
      <c r="F476" s="9">
        <v>1382.08</v>
      </c>
      <c r="G476" s="9">
        <v>342.39</v>
      </c>
      <c r="H476" s="7">
        <v>4</v>
      </c>
      <c r="I476" s="10">
        <f t="shared" si="14"/>
        <v>0.24773529752257467</v>
      </c>
      <c r="J476" s="7" t="str">
        <f t="shared" si="15"/>
        <v>Low</v>
      </c>
    </row>
    <row r="477" spans="1:10" x14ac:dyDescent="0.3">
      <c r="A477" s="7" t="s">
        <v>697</v>
      </c>
      <c r="B477" s="8" t="s">
        <v>696</v>
      </c>
      <c r="C477" s="7" t="s">
        <v>20</v>
      </c>
      <c r="D477" s="7" t="s">
        <v>38</v>
      </c>
      <c r="E477" s="7" t="s">
        <v>18</v>
      </c>
      <c r="F477" s="9">
        <v>736.94</v>
      </c>
      <c r="G477" s="9">
        <v>172.26</v>
      </c>
      <c r="H477" s="7">
        <v>2</v>
      </c>
      <c r="I477" s="10">
        <f t="shared" si="14"/>
        <v>0.23375037316470809</v>
      </c>
      <c r="J477" s="7" t="str">
        <f t="shared" si="15"/>
        <v>Low</v>
      </c>
    </row>
    <row r="478" spans="1:10" x14ac:dyDescent="0.3">
      <c r="A478" s="7" t="s">
        <v>698</v>
      </c>
      <c r="B478" s="8" t="s">
        <v>696</v>
      </c>
      <c r="C478" s="7" t="s">
        <v>12</v>
      </c>
      <c r="D478" s="7" t="s">
        <v>38</v>
      </c>
      <c r="E478" s="7" t="s">
        <v>18</v>
      </c>
      <c r="F478" s="9">
        <v>1479.44</v>
      </c>
      <c r="G478" s="9">
        <v>405.04</v>
      </c>
      <c r="H478" s="7">
        <v>4</v>
      </c>
      <c r="I478" s="10">
        <f t="shared" si="14"/>
        <v>0.2737792678310712</v>
      </c>
      <c r="J478" s="7" t="str">
        <f t="shared" si="15"/>
        <v>Low</v>
      </c>
    </row>
    <row r="479" spans="1:10" x14ac:dyDescent="0.3">
      <c r="A479" s="7" t="s">
        <v>699</v>
      </c>
      <c r="B479" s="8" t="s">
        <v>700</v>
      </c>
      <c r="C479" s="7" t="s">
        <v>20</v>
      </c>
      <c r="D479" s="7" t="s">
        <v>112</v>
      </c>
      <c r="E479" s="7" t="s">
        <v>14</v>
      </c>
      <c r="F479" s="9">
        <v>873.34</v>
      </c>
      <c r="G479" s="9">
        <v>335.88</v>
      </c>
      <c r="H479" s="7">
        <v>2</v>
      </c>
      <c r="I479" s="10">
        <f t="shared" si="14"/>
        <v>0.38459248402683949</v>
      </c>
      <c r="J479" s="7" t="str">
        <f t="shared" si="15"/>
        <v>Low</v>
      </c>
    </row>
    <row r="480" spans="1:10" x14ac:dyDescent="0.3">
      <c r="A480" s="7" t="s">
        <v>701</v>
      </c>
      <c r="B480" s="8" t="s">
        <v>700</v>
      </c>
      <c r="C480" s="7" t="s">
        <v>12</v>
      </c>
      <c r="D480" s="7" t="s">
        <v>85</v>
      </c>
      <c r="E480" s="7" t="s">
        <v>24</v>
      </c>
      <c r="F480" s="9">
        <v>1479.76</v>
      </c>
      <c r="G480" s="9">
        <v>675.93</v>
      </c>
      <c r="H480" s="7">
        <v>4</v>
      </c>
      <c r="I480" s="10">
        <f t="shared" si="14"/>
        <v>0.45678353246472397</v>
      </c>
      <c r="J480" s="7" t="str">
        <f t="shared" si="15"/>
        <v>Low</v>
      </c>
    </row>
    <row r="481" spans="1:10" x14ac:dyDescent="0.3">
      <c r="A481" s="7" t="s">
        <v>702</v>
      </c>
      <c r="B481" s="8" t="s">
        <v>703</v>
      </c>
      <c r="C481" s="7" t="s">
        <v>32</v>
      </c>
      <c r="D481" s="7" t="s">
        <v>254</v>
      </c>
      <c r="E481" s="7" t="s">
        <v>24</v>
      </c>
      <c r="F481" s="9">
        <v>56.88</v>
      </c>
      <c r="G481" s="9">
        <v>21.64</v>
      </c>
      <c r="H481" s="7">
        <v>3</v>
      </c>
      <c r="I481" s="10">
        <f t="shared" si="14"/>
        <v>0.38045007032348804</v>
      </c>
      <c r="J481" s="7" t="str">
        <f t="shared" si="15"/>
        <v>Low</v>
      </c>
    </row>
    <row r="482" spans="1:10" x14ac:dyDescent="0.3">
      <c r="A482" s="7" t="s">
        <v>704</v>
      </c>
      <c r="B482" s="8" t="s">
        <v>705</v>
      </c>
      <c r="C482" s="7" t="s">
        <v>20</v>
      </c>
      <c r="D482" s="7" t="s">
        <v>85</v>
      </c>
      <c r="E482" s="7" t="s">
        <v>24</v>
      </c>
      <c r="F482" s="9">
        <v>676.6</v>
      </c>
      <c r="G482" s="9">
        <v>278.13</v>
      </c>
      <c r="H482" s="7">
        <v>2</v>
      </c>
      <c r="I482" s="10">
        <f t="shared" si="14"/>
        <v>0.41107005616316877</v>
      </c>
      <c r="J482" s="7" t="str">
        <f t="shared" si="15"/>
        <v>Low</v>
      </c>
    </row>
    <row r="483" spans="1:10" x14ac:dyDescent="0.3">
      <c r="A483" s="7" t="s">
        <v>706</v>
      </c>
      <c r="B483" s="8" t="s">
        <v>705</v>
      </c>
      <c r="C483" s="7" t="s">
        <v>12</v>
      </c>
      <c r="D483" s="7" t="s">
        <v>74</v>
      </c>
      <c r="E483" s="7" t="s">
        <v>18</v>
      </c>
      <c r="F483" s="9">
        <v>246.33</v>
      </c>
      <c r="G483" s="9">
        <v>45.74</v>
      </c>
      <c r="H483" s="7">
        <v>1</v>
      </c>
      <c r="I483" s="10">
        <f t="shared" si="14"/>
        <v>0.18568586855031868</v>
      </c>
      <c r="J483" s="7" t="str">
        <f t="shared" si="15"/>
        <v>Low</v>
      </c>
    </row>
    <row r="484" spans="1:10" x14ac:dyDescent="0.3">
      <c r="A484" s="7" t="s">
        <v>707</v>
      </c>
      <c r="B484" s="8" t="s">
        <v>705</v>
      </c>
      <c r="C484" s="7" t="s">
        <v>12</v>
      </c>
      <c r="D484" s="7" t="s">
        <v>60</v>
      </c>
      <c r="E484" s="7" t="s">
        <v>28</v>
      </c>
      <c r="F484" s="9">
        <v>2432.46</v>
      </c>
      <c r="G484" s="9">
        <v>1095.27</v>
      </c>
      <c r="H484" s="7">
        <v>6</v>
      </c>
      <c r="I484" s="10">
        <f t="shared" si="14"/>
        <v>0.45027256357761275</v>
      </c>
      <c r="J484" s="7" t="str">
        <f t="shared" si="15"/>
        <v>Medium</v>
      </c>
    </row>
    <row r="485" spans="1:10" x14ac:dyDescent="0.3">
      <c r="A485" s="7" t="s">
        <v>708</v>
      </c>
      <c r="B485" s="8" t="s">
        <v>705</v>
      </c>
      <c r="C485" s="7" t="s">
        <v>22</v>
      </c>
      <c r="D485" s="7" t="s">
        <v>57</v>
      </c>
      <c r="E485" s="7" t="s">
        <v>18</v>
      </c>
      <c r="F485" s="9">
        <v>365.1</v>
      </c>
      <c r="G485" s="9">
        <v>104.92</v>
      </c>
      <c r="H485" s="7">
        <v>2</v>
      </c>
      <c r="I485" s="10">
        <f t="shared" si="14"/>
        <v>0.28737332237743085</v>
      </c>
      <c r="J485" s="7" t="str">
        <f t="shared" si="15"/>
        <v>Low</v>
      </c>
    </row>
    <row r="486" spans="1:10" x14ac:dyDescent="0.3">
      <c r="A486" s="7" t="s">
        <v>709</v>
      </c>
      <c r="B486" s="8" t="s">
        <v>705</v>
      </c>
      <c r="C486" s="7" t="s">
        <v>32</v>
      </c>
      <c r="D486" s="7" t="s">
        <v>38</v>
      </c>
      <c r="E486" s="7" t="s">
        <v>18</v>
      </c>
      <c r="F486" s="9">
        <v>1098.45</v>
      </c>
      <c r="G486" s="9">
        <v>285.19</v>
      </c>
      <c r="H486" s="7">
        <v>3</v>
      </c>
      <c r="I486" s="10">
        <f t="shared" si="14"/>
        <v>0.2596294779006782</v>
      </c>
      <c r="J486" s="7" t="str">
        <f t="shared" si="15"/>
        <v>Low</v>
      </c>
    </row>
    <row r="487" spans="1:10" x14ac:dyDescent="0.3">
      <c r="A487" s="7" t="s">
        <v>710</v>
      </c>
      <c r="B487" s="8" t="s">
        <v>711</v>
      </c>
      <c r="C487" s="7" t="s">
        <v>12</v>
      </c>
      <c r="D487" s="7" t="s">
        <v>38</v>
      </c>
      <c r="E487" s="7" t="s">
        <v>18</v>
      </c>
      <c r="F487" s="9">
        <v>370.22</v>
      </c>
      <c r="G487" s="9">
        <v>100.98</v>
      </c>
      <c r="H487" s="7">
        <v>1</v>
      </c>
      <c r="I487" s="10">
        <f t="shared" si="14"/>
        <v>0.27275673923612986</v>
      </c>
      <c r="J487" s="7" t="str">
        <f t="shared" si="15"/>
        <v>Low</v>
      </c>
    </row>
    <row r="488" spans="1:10" x14ac:dyDescent="0.3">
      <c r="A488" s="7" t="s">
        <v>712</v>
      </c>
      <c r="B488" s="8" t="s">
        <v>711</v>
      </c>
      <c r="C488" s="7" t="s">
        <v>12</v>
      </c>
      <c r="D488" s="7" t="s">
        <v>13</v>
      </c>
      <c r="E488" s="7" t="s">
        <v>14</v>
      </c>
      <c r="F488" s="9">
        <v>1594.68</v>
      </c>
      <c r="G488" s="9">
        <v>448.07</v>
      </c>
      <c r="H488" s="7">
        <v>4</v>
      </c>
      <c r="I488" s="10">
        <f t="shared" si="14"/>
        <v>0.28097800185617178</v>
      </c>
      <c r="J488" s="7" t="str">
        <f t="shared" si="15"/>
        <v>Medium</v>
      </c>
    </row>
    <row r="489" spans="1:10" x14ac:dyDescent="0.3">
      <c r="A489" s="7" t="s">
        <v>713</v>
      </c>
      <c r="B489" s="8" t="s">
        <v>711</v>
      </c>
      <c r="C489" s="7" t="s">
        <v>22</v>
      </c>
      <c r="D489" s="7" t="s">
        <v>89</v>
      </c>
      <c r="E489" s="7" t="s">
        <v>24</v>
      </c>
      <c r="F489" s="9">
        <v>288.68</v>
      </c>
      <c r="G489" s="9">
        <v>76.489999999999995</v>
      </c>
      <c r="H489" s="7">
        <v>1</v>
      </c>
      <c r="I489" s="10">
        <f t="shared" si="14"/>
        <v>0.26496466675904112</v>
      </c>
      <c r="J489" s="7" t="str">
        <f t="shared" si="15"/>
        <v>Low</v>
      </c>
    </row>
    <row r="490" spans="1:10" x14ac:dyDescent="0.3">
      <c r="A490" s="7" t="s">
        <v>714</v>
      </c>
      <c r="B490" s="8" t="s">
        <v>715</v>
      </c>
      <c r="C490" s="7" t="s">
        <v>12</v>
      </c>
      <c r="D490" s="7" t="s">
        <v>89</v>
      </c>
      <c r="E490" s="7" t="s">
        <v>24</v>
      </c>
      <c r="F490" s="9">
        <v>309.99</v>
      </c>
      <c r="G490" s="9">
        <v>100.39</v>
      </c>
      <c r="H490" s="7">
        <v>1</v>
      </c>
      <c r="I490" s="10">
        <f t="shared" si="14"/>
        <v>0.32384915642440076</v>
      </c>
      <c r="J490" s="7" t="str">
        <f t="shared" si="15"/>
        <v>Low</v>
      </c>
    </row>
    <row r="491" spans="1:10" x14ac:dyDescent="0.3">
      <c r="A491" s="7" t="s">
        <v>716</v>
      </c>
      <c r="B491" s="8" t="s">
        <v>715</v>
      </c>
      <c r="C491" s="7" t="s">
        <v>12</v>
      </c>
      <c r="D491" s="7" t="s">
        <v>50</v>
      </c>
      <c r="E491" s="7" t="s">
        <v>14</v>
      </c>
      <c r="F491" s="9">
        <v>99.94</v>
      </c>
      <c r="G491" s="9">
        <v>40.68</v>
      </c>
      <c r="H491" s="7">
        <v>2</v>
      </c>
      <c r="I491" s="10">
        <f t="shared" si="14"/>
        <v>0.40704422653592154</v>
      </c>
      <c r="J491" s="7" t="str">
        <f t="shared" si="15"/>
        <v>Low</v>
      </c>
    </row>
    <row r="492" spans="1:10" x14ac:dyDescent="0.3">
      <c r="A492" s="7" t="s">
        <v>717</v>
      </c>
      <c r="B492" s="8" t="s">
        <v>718</v>
      </c>
      <c r="C492" s="7" t="s">
        <v>32</v>
      </c>
      <c r="D492" s="7" t="s">
        <v>70</v>
      </c>
      <c r="E492" s="7" t="s">
        <v>14</v>
      </c>
      <c r="F492" s="9">
        <v>365.65</v>
      </c>
      <c r="G492" s="9">
        <v>82.93</v>
      </c>
      <c r="H492" s="7">
        <v>1</v>
      </c>
      <c r="I492" s="10">
        <f t="shared" si="14"/>
        <v>0.22680158621632712</v>
      </c>
      <c r="J492" s="7" t="str">
        <f t="shared" si="15"/>
        <v>Low</v>
      </c>
    </row>
    <row r="493" spans="1:10" x14ac:dyDescent="0.3">
      <c r="A493" s="7" t="s">
        <v>719</v>
      </c>
      <c r="B493" s="8" t="s">
        <v>718</v>
      </c>
      <c r="C493" s="7" t="s">
        <v>32</v>
      </c>
      <c r="D493" s="7" t="s">
        <v>89</v>
      </c>
      <c r="E493" s="7" t="s">
        <v>24</v>
      </c>
      <c r="F493" s="9">
        <v>1176.92</v>
      </c>
      <c r="G493" s="9">
        <v>360</v>
      </c>
      <c r="H493" s="7">
        <v>4</v>
      </c>
      <c r="I493" s="10">
        <f t="shared" si="14"/>
        <v>0.30588315263569316</v>
      </c>
      <c r="J493" s="7" t="str">
        <f t="shared" si="15"/>
        <v>Low</v>
      </c>
    </row>
    <row r="494" spans="1:10" x14ac:dyDescent="0.3">
      <c r="A494" s="7" t="s">
        <v>720</v>
      </c>
      <c r="B494" s="8" t="s">
        <v>718</v>
      </c>
      <c r="C494" s="7" t="s">
        <v>12</v>
      </c>
      <c r="D494" s="7" t="s">
        <v>112</v>
      </c>
      <c r="E494" s="7" t="s">
        <v>14</v>
      </c>
      <c r="F494" s="9">
        <v>1723.44</v>
      </c>
      <c r="G494" s="9">
        <v>560.22</v>
      </c>
      <c r="H494" s="7">
        <v>4</v>
      </c>
      <c r="I494" s="10">
        <f t="shared" si="14"/>
        <v>0.32505918395766609</v>
      </c>
      <c r="J494" s="7" t="str">
        <f t="shared" si="15"/>
        <v>Medium</v>
      </c>
    </row>
    <row r="495" spans="1:10" x14ac:dyDescent="0.3">
      <c r="A495" s="7" t="s">
        <v>721</v>
      </c>
      <c r="B495" s="8" t="s">
        <v>718</v>
      </c>
      <c r="C495" s="7" t="s">
        <v>22</v>
      </c>
      <c r="D495" s="7" t="s">
        <v>43</v>
      </c>
      <c r="E495" s="7" t="s">
        <v>24</v>
      </c>
      <c r="F495" s="9">
        <v>324.81</v>
      </c>
      <c r="G495" s="9">
        <v>84.82</v>
      </c>
      <c r="H495" s="7">
        <v>3</v>
      </c>
      <c r="I495" s="10">
        <f t="shared" si="14"/>
        <v>0.26113728025614974</v>
      </c>
      <c r="J495" s="7" t="str">
        <f t="shared" si="15"/>
        <v>Low</v>
      </c>
    </row>
    <row r="496" spans="1:10" x14ac:dyDescent="0.3">
      <c r="A496" s="7" t="s">
        <v>722</v>
      </c>
      <c r="B496" s="8" t="s">
        <v>723</v>
      </c>
      <c r="C496" s="7" t="s">
        <v>22</v>
      </c>
      <c r="D496" s="7" t="s">
        <v>34</v>
      </c>
      <c r="E496" s="7" t="s">
        <v>24</v>
      </c>
      <c r="F496" s="9">
        <v>367.89</v>
      </c>
      <c r="G496" s="9">
        <v>93.23</v>
      </c>
      <c r="H496" s="7">
        <v>1</v>
      </c>
      <c r="I496" s="10">
        <f t="shared" si="14"/>
        <v>0.25341814129223411</v>
      </c>
      <c r="J496" s="7" t="str">
        <f t="shared" si="15"/>
        <v>Low</v>
      </c>
    </row>
    <row r="497" spans="1:10" x14ac:dyDescent="0.3">
      <c r="A497" s="7" t="s">
        <v>724</v>
      </c>
      <c r="B497" s="8" t="s">
        <v>723</v>
      </c>
      <c r="C497" s="7" t="s">
        <v>12</v>
      </c>
      <c r="D497" s="7" t="s">
        <v>70</v>
      </c>
      <c r="E497" s="7" t="s">
        <v>14</v>
      </c>
      <c r="F497" s="9">
        <v>1723</v>
      </c>
      <c r="G497" s="9">
        <v>377.21</v>
      </c>
      <c r="H497" s="7">
        <v>5</v>
      </c>
      <c r="I497" s="10">
        <f t="shared" si="14"/>
        <v>0.2189262913522925</v>
      </c>
      <c r="J497" s="7" t="str">
        <f t="shared" si="15"/>
        <v>Medium</v>
      </c>
    </row>
    <row r="498" spans="1:10" x14ac:dyDescent="0.3">
      <c r="A498" s="7" t="s">
        <v>725</v>
      </c>
      <c r="B498" s="8" t="s">
        <v>726</v>
      </c>
      <c r="C498" s="7" t="s">
        <v>20</v>
      </c>
      <c r="D498" s="7" t="s">
        <v>70</v>
      </c>
      <c r="E498" s="7" t="s">
        <v>14</v>
      </c>
      <c r="F498" s="9">
        <v>688.2</v>
      </c>
      <c r="G498" s="9">
        <v>121.14</v>
      </c>
      <c r="H498" s="7">
        <v>2</v>
      </c>
      <c r="I498" s="10">
        <f t="shared" si="14"/>
        <v>0.17602441150828246</v>
      </c>
      <c r="J498" s="7" t="str">
        <f t="shared" si="15"/>
        <v>Low</v>
      </c>
    </row>
    <row r="499" spans="1:10" x14ac:dyDescent="0.3">
      <c r="A499" s="7" t="s">
        <v>727</v>
      </c>
      <c r="B499" s="8" t="s">
        <v>726</v>
      </c>
      <c r="C499" s="7" t="s">
        <v>20</v>
      </c>
      <c r="D499" s="7" t="s">
        <v>54</v>
      </c>
      <c r="E499" s="7" t="s">
        <v>28</v>
      </c>
      <c r="F499" s="9">
        <v>135.78</v>
      </c>
      <c r="G499" s="9">
        <v>59.41</v>
      </c>
      <c r="H499" s="7">
        <v>1</v>
      </c>
      <c r="I499" s="10">
        <f t="shared" si="14"/>
        <v>0.43754603034320222</v>
      </c>
      <c r="J499" s="7" t="str">
        <f t="shared" si="15"/>
        <v>Low</v>
      </c>
    </row>
    <row r="500" spans="1:10" x14ac:dyDescent="0.3">
      <c r="A500" s="7" t="s">
        <v>728</v>
      </c>
      <c r="B500" s="8" t="s">
        <v>726</v>
      </c>
      <c r="C500" s="7" t="s">
        <v>22</v>
      </c>
      <c r="D500" s="7" t="s">
        <v>41</v>
      </c>
      <c r="E500" s="7" t="s">
        <v>28</v>
      </c>
      <c r="F500" s="9">
        <v>288.32</v>
      </c>
      <c r="G500" s="9">
        <v>124.72</v>
      </c>
      <c r="H500" s="7">
        <v>1</v>
      </c>
      <c r="I500" s="10">
        <f t="shared" si="14"/>
        <v>0.43257491675915649</v>
      </c>
      <c r="J500" s="7" t="str">
        <f t="shared" si="15"/>
        <v>Low</v>
      </c>
    </row>
    <row r="501" spans="1:10" x14ac:dyDescent="0.3">
      <c r="A501" s="7" t="s">
        <v>729</v>
      </c>
      <c r="B501" s="8" t="s">
        <v>726</v>
      </c>
      <c r="C501" s="7" t="s">
        <v>32</v>
      </c>
      <c r="D501" s="7" t="s">
        <v>38</v>
      </c>
      <c r="E501" s="7" t="s">
        <v>18</v>
      </c>
      <c r="F501" s="9">
        <v>405.75</v>
      </c>
      <c r="G501" s="9">
        <v>125.95</v>
      </c>
      <c r="H501" s="7">
        <v>1</v>
      </c>
      <c r="I501" s="10">
        <f t="shared" si="14"/>
        <v>0.31041281577325941</v>
      </c>
      <c r="J501" s="7" t="str">
        <f t="shared" si="15"/>
        <v>Low</v>
      </c>
    </row>
    <row r="502" spans="1:10" x14ac:dyDescent="0.3">
      <c r="A502" s="7" t="s">
        <v>730</v>
      </c>
      <c r="B502" s="8" t="s">
        <v>726</v>
      </c>
      <c r="C502" s="7" t="s">
        <v>12</v>
      </c>
      <c r="D502" s="7" t="s">
        <v>85</v>
      </c>
      <c r="E502" s="7" t="s">
        <v>24</v>
      </c>
      <c r="F502" s="9">
        <v>1388.16</v>
      </c>
      <c r="G502" s="9">
        <v>558.07000000000005</v>
      </c>
      <c r="H502" s="7">
        <v>4</v>
      </c>
      <c r="I502" s="10">
        <f t="shared" si="14"/>
        <v>0.40202138082065469</v>
      </c>
      <c r="J502" s="7" t="str">
        <f t="shared" si="15"/>
        <v>Low</v>
      </c>
    </row>
    <row r="503" spans="1:10" x14ac:dyDescent="0.3">
      <c r="A503" s="7" t="s">
        <v>731</v>
      </c>
      <c r="B503" s="8" t="s">
        <v>726</v>
      </c>
      <c r="C503" s="7" t="s">
        <v>32</v>
      </c>
      <c r="D503" s="7" t="s">
        <v>41</v>
      </c>
      <c r="E503" s="7" t="s">
        <v>28</v>
      </c>
      <c r="F503" s="9">
        <v>3026.7</v>
      </c>
      <c r="G503" s="9">
        <v>1466.06</v>
      </c>
      <c r="H503" s="7">
        <v>10</v>
      </c>
      <c r="I503" s="10">
        <f t="shared" si="14"/>
        <v>0.4843757227343311</v>
      </c>
      <c r="J503" s="7" t="str">
        <f t="shared" si="15"/>
        <v>Medium</v>
      </c>
    </row>
    <row r="504" spans="1:10" x14ac:dyDescent="0.3">
      <c r="A504" s="7" t="s">
        <v>732</v>
      </c>
      <c r="B504" s="8" t="s">
        <v>726</v>
      </c>
      <c r="C504" s="7" t="s">
        <v>12</v>
      </c>
      <c r="D504" s="7" t="s">
        <v>57</v>
      </c>
      <c r="E504" s="7" t="s">
        <v>18</v>
      </c>
      <c r="F504" s="9">
        <v>168.76</v>
      </c>
      <c r="G504" s="9">
        <v>43.05</v>
      </c>
      <c r="H504" s="7">
        <v>1</v>
      </c>
      <c r="I504" s="10">
        <f t="shared" si="14"/>
        <v>0.25509599431144819</v>
      </c>
      <c r="J504" s="7" t="str">
        <f t="shared" si="15"/>
        <v>Low</v>
      </c>
    </row>
    <row r="505" spans="1:10" x14ac:dyDescent="0.3">
      <c r="A505" s="7" t="s">
        <v>733</v>
      </c>
      <c r="B505" s="8" t="s">
        <v>734</v>
      </c>
      <c r="C505" s="7" t="s">
        <v>22</v>
      </c>
      <c r="D505" s="7" t="s">
        <v>63</v>
      </c>
      <c r="E505" s="7" t="s">
        <v>28</v>
      </c>
      <c r="F505" s="9">
        <v>1594.08</v>
      </c>
      <c r="G505" s="9">
        <v>717.97</v>
      </c>
      <c r="H505" s="7">
        <v>8</v>
      </c>
      <c r="I505" s="10">
        <f t="shared" si="14"/>
        <v>0.45039772156980834</v>
      </c>
      <c r="J505" s="7" t="str">
        <f t="shared" si="15"/>
        <v>Medium</v>
      </c>
    </row>
    <row r="506" spans="1:10" x14ac:dyDescent="0.3">
      <c r="A506" s="7" t="s">
        <v>735</v>
      </c>
      <c r="B506" s="8" t="s">
        <v>736</v>
      </c>
      <c r="C506" s="7" t="s">
        <v>22</v>
      </c>
      <c r="D506" s="7" t="s">
        <v>17</v>
      </c>
      <c r="E506" s="7" t="s">
        <v>18</v>
      </c>
      <c r="F506" s="9">
        <v>1178.01</v>
      </c>
      <c r="G506" s="9">
        <v>366.01</v>
      </c>
      <c r="H506" s="7">
        <v>3</v>
      </c>
      <c r="I506" s="10">
        <f t="shared" si="14"/>
        <v>0.31070194650300081</v>
      </c>
      <c r="J506" s="7" t="str">
        <f t="shared" si="15"/>
        <v>Low</v>
      </c>
    </row>
    <row r="507" spans="1:10" x14ac:dyDescent="0.3">
      <c r="A507" s="7" t="s">
        <v>737</v>
      </c>
      <c r="B507" s="8" t="s">
        <v>736</v>
      </c>
      <c r="C507" s="7" t="s">
        <v>22</v>
      </c>
      <c r="D507" s="7" t="s">
        <v>50</v>
      </c>
      <c r="E507" s="7" t="s">
        <v>14</v>
      </c>
      <c r="F507" s="9">
        <v>47.65</v>
      </c>
      <c r="G507" s="9">
        <v>17.96</v>
      </c>
      <c r="H507" s="7">
        <v>1</v>
      </c>
      <c r="I507" s="10">
        <f t="shared" si="14"/>
        <v>0.37691500524658972</v>
      </c>
      <c r="J507" s="7" t="str">
        <f t="shared" si="15"/>
        <v>Low</v>
      </c>
    </row>
    <row r="508" spans="1:10" x14ac:dyDescent="0.3">
      <c r="A508" s="7" t="s">
        <v>738</v>
      </c>
      <c r="B508" s="8" t="s">
        <v>736</v>
      </c>
      <c r="C508" s="7" t="s">
        <v>22</v>
      </c>
      <c r="D508" s="7" t="s">
        <v>23</v>
      </c>
      <c r="E508" s="7" t="s">
        <v>24</v>
      </c>
      <c r="F508" s="9">
        <v>207.16</v>
      </c>
      <c r="G508" s="9">
        <v>54.17</v>
      </c>
      <c r="H508" s="7">
        <v>2</v>
      </c>
      <c r="I508" s="10">
        <f t="shared" si="14"/>
        <v>0.26148870438308552</v>
      </c>
      <c r="J508" s="7" t="str">
        <f t="shared" si="15"/>
        <v>Low</v>
      </c>
    </row>
    <row r="509" spans="1:10" x14ac:dyDescent="0.3">
      <c r="A509" s="7" t="s">
        <v>739</v>
      </c>
      <c r="B509" s="8" t="s">
        <v>736</v>
      </c>
      <c r="C509" s="7" t="s">
        <v>12</v>
      </c>
      <c r="D509" s="7" t="s">
        <v>60</v>
      </c>
      <c r="E509" s="7" t="s">
        <v>28</v>
      </c>
      <c r="F509" s="9">
        <v>1119.8699999999999</v>
      </c>
      <c r="G509" s="9">
        <v>402.71</v>
      </c>
      <c r="H509" s="7">
        <v>3</v>
      </c>
      <c r="I509" s="10">
        <f t="shared" si="14"/>
        <v>0.35960423977783135</v>
      </c>
      <c r="J509" s="7" t="str">
        <f t="shared" si="15"/>
        <v>Low</v>
      </c>
    </row>
    <row r="510" spans="1:10" x14ac:dyDescent="0.3">
      <c r="A510" s="7" t="s">
        <v>740</v>
      </c>
      <c r="B510" s="8" t="s">
        <v>736</v>
      </c>
      <c r="C510" s="7" t="s">
        <v>12</v>
      </c>
      <c r="D510" s="7" t="s">
        <v>38</v>
      </c>
      <c r="E510" s="7" t="s">
        <v>18</v>
      </c>
      <c r="F510" s="9">
        <v>1553.4</v>
      </c>
      <c r="G510" s="9">
        <v>389.94</v>
      </c>
      <c r="H510" s="7">
        <v>4</v>
      </c>
      <c r="I510" s="10">
        <f t="shared" si="14"/>
        <v>0.25102356122054847</v>
      </c>
      <c r="J510" s="7" t="str">
        <f t="shared" si="15"/>
        <v>Medium</v>
      </c>
    </row>
    <row r="511" spans="1:10" x14ac:dyDescent="0.3">
      <c r="A511" s="7" t="s">
        <v>741</v>
      </c>
      <c r="B511" s="8" t="s">
        <v>736</v>
      </c>
      <c r="C511" s="7" t="s">
        <v>20</v>
      </c>
      <c r="D511" s="7" t="s">
        <v>85</v>
      </c>
      <c r="E511" s="7" t="s">
        <v>24</v>
      </c>
      <c r="F511" s="9">
        <v>2774.48</v>
      </c>
      <c r="G511" s="9">
        <v>1142.18</v>
      </c>
      <c r="H511" s="7">
        <v>8</v>
      </c>
      <c r="I511" s="10">
        <f t="shared" si="14"/>
        <v>0.41167353882529339</v>
      </c>
      <c r="J511" s="7" t="str">
        <f t="shared" si="15"/>
        <v>Medium</v>
      </c>
    </row>
    <row r="512" spans="1:10" x14ac:dyDescent="0.3">
      <c r="A512" s="7" t="s">
        <v>742</v>
      </c>
      <c r="B512" s="8" t="s">
        <v>743</v>
      </c>
      <c r="C512" s="7" t="s">
        <v>20</v>
      </c>
      <c r="D512" s="7" t="s">
        <v>85</v>
      </c>
      <c r="E512" s="7" t="s">
        <v>24</v>
      </c>
      <c r="F512" s="9">
        <v>1078.26</v>
      </c>
      <c r="G512" s="9">
        <v>482.52</v>
      </c>
      <c r="H512" s="7">
        <v>3</v>
      </c>
      <c r="I512" s="10">
        <f t="shared" si="14"/>
        <v>0.44749874798286127</v>
      </c>
      <c r="J512" s="7" t="str">
        <f t="shared" si="15"/>
        <v>Low</v>
      </c>
    </row>
    <row r="513" spans="1:10" x14ac:dyDescent="0.3">
      <c r="A513" s="7" t="s">
        <v>744</v>
      </c>
      <c r="B513" s="8" t="s">
        <v>743</v>
      </c>
      <c r="C513" s="7" t="s">
        <v>20</v>
      </c>
      <c r="D513" s="7" t="s">
        <v>63</v>
      </c>
      <c r="E513" s="7" t="s">
        <v>28</v>
      </c>
      <c r="F513" s="9">
        <v>587.49</v>
      </c>
      <c r="G513" s="9">
        <v>265.39</v>
      </c>
      <c r="H513" s="7">
        <v>3</v>
      </c>
      <c r="I513" s="10">
        <f t="shared" si="14"/>
        <v>0.45173534868678611</v>
      </c>
      <c r="J513" s="7" t="str">
        <f t="shared" si="15"/>
        <v>Low</v>
      </c>
    </row>
    <row r="514" spans="1:10" x14ac:dyDescent="0.3">
      <c r="A514" s="7" t="s">
        <v>745</v>
      </c>
      <c r="B514" s="8" t="s">
        <v>746</v>
      </c>
      <c r="C514" s="7" t="s">
        <v>22</v>
      </c>
      <c r="D514" s="7" t="s">
        <v>70</v>
      </c>
      <c r="E514" s="7" t="s">
        <v>14</v>
      </c>
      <c r="F514" s="9">
        <v>750.8</v>
      </c>
      <c r="G514" s="9">
        <v>190.51</v>
      </c>
      <c r="H514" s="7">
        <v>2</v>
      </c>
      <c r="I514" s="10">
        <f t="shared" ref="I514:I577" si="16">IFERROR(G514/F514,0)</f>
        <v>0.2537426744805541</v>
      </c>
      <c r="J514" s="7" t="str">
        <f t="shared" ref="J514:J577" si="17">IF(F514&gt;5000,"High",IF(F514&gt;1500,"Medium","Low"))</f>
        <v>Low</v>
      </c>
    </row>
    <row r="515" spans="1:10" x14ac:dyDescent="0.3">
      <c r="A515" s="7" t="s">
        <v>747</v>
      </c>
      <c r="B515" s="8" t="s">
        <v>746</v>
      </c>
      <c r="C515" s="7" t="s">
        <v>32</v>
      </c>
      <c r="D515" s="7" t="s">
        <v>60</v>
      </c>
      <c r="E515" s="7" t="s">
        <v>28</v>
      </c>
      <c r="F515" s="9">
        <v>1618.2</v>
      </c>
      <c r="G515" s="9">
        <v>704.52</v>
      </c>
      <c r="H515" s="7">
        <v>4</v>
      </c>
      <c r="I515" s="10">
        <f t="shared" si="16"/>
        <v>0.43537263626251388</v>
      </c>
      <c r="J515" s="7" t="str">
        <f t="shared" si="17"/>
        <v>Medium</v>
      </c>
    </row>
    <row r="516" spans="1:10" x14ac:dyDescent="0.3">
      <c r="A516" s="7" t="s">
        <v>748</v>
      </c>
      <c r="B516" s="8" t="s">
        <v>746</v>
      </c>
      <c r="C516" s="7" t="s">
        <v>20</v>
      </c>
      <c r="D516" s="7" t="s">
        <v>23</v>
      </c>
      <c r="E516" s="7" t="s">
        <v>24</v>
      </c>
      <c r="F516" s="9">
        <v>801.12</v>
      </c>
      <c r="G516" s="9">
        <v>224.06</v>
      </c>
      <c r="H516" s="7">
        <v>8</v>
      </c>
      <c r="I516" s="10">
        <f t="shared" si="16"/>
        <v>0.27968344317954863</v>
      </c>
      <c r="J516" s="7" t="str">
        <f t="shared" si="17"/>
        <v>Low</v>
      </c>
    </row>
    <row r="517" spans="1:10" x14ac:dyDescent="0.3">
      <c r="A517" s="7" t="s">
        <v>749</v>
      </c>
      <c r="B517" s="8" t="s">
        <v>746</v>
      </c>
      <c r="C517" s="7" t="s">
        <v>32</v>
      </c>
      <c r="D517" s="7" t="s">
        <v>41</v>
      </c>
      <c r="E517" s="7" t="s">
        <v>28</v>
      </c>
      <c r="F517" s="9">
        <v>2139.44</v>
      </c>
      <c r="G517" s="9">
        <v>822.83</v>
      </c>
      <c r="H517" s="7">
        <v>8</v>
      </c>
      <c r="I517" s="10">
        <f t="shared" si="16"/>
        <v>0.38460064315895748</v>
      </c>
      <c r="J517" s="7" t="str">
        <f t="shared" si="17"/>
        <v>Medium</v>
      </c>
    </row>
    <row r="518" spans="1:10" x14ac:dyDescent="0.3">
      <c r="A518" s="7" t="s">
        <v>750</v>
      </c>
      <c r="B518" s="8" t="s">
        <v>746</v>
      </c>
      <c r="C518" s="7" t="s">
        <v>12</v>
      </c>
      <c r="D518" s="7" t="s">
        <v>43</v>
      </c>
      <c r="E518" s="7" t="s">
        <v>24</v>
      </c>
      <c r="F518" s="9">
        <v>489.85</v>
      </c>
      <c r="G518" s="9">
        <v>119.53</v>
      </c>
      <c r="H518" s="7">
        <v>5</v>
      </c>
      <c r="I518" s="10">
        <f t="shared" si="16"/>
        <v>0.24401347351229968</v>
      </c>
      <c r="J518" s="7" t="str">
        <f t="shared" si="17"/>
        <v>Low</v>
      </c>
    </row>
    <row r="519" spans="1:10" x14ac:dyDescent="0.3">
      <c r="A519" s="7" t="s">
        <v>751</v>
      </c>
      <c r="B519" s="8" t="s">
        <v>746</v>
      </c>
      <c r="C519" s="7" t="s">
        <v>22</v>
      </c>
      <c r="D519" s="7" t="s">
        <v>112</v>
      </c>
      <c r="E519" s="7" t="s">
        <v>14</v>
      </c>
      <c r="F519" s="9">
        <v>450.86</v>
      </c>
      <c r="G519" s="9">
        <v>157.63</v>
      </c>
      <c r="H519" s="7">
        <v>1</v>
      </c>
      <c r="I519" s="10">
        <f t="shared" si="16"/>
        <v>0.3496207248369782</v>
      </c>
      <c r="J519" s="7" t="str">
        <f t="shared" si="17"/>
        <v>Low</v>
      </c>
    </row>
    <row r="520" spans="1:10" x14ac:dyDescent="0.3">
      <c r="A520" s="7" t="s">
        <v>752</v>
      </c>
      <c r="B520" s="8" t="s">
        <v>746</v>
      </c>
      <c r="C520" s="7" t="s">
        <v>32</v>
      </c>
      <c r="D520" s="7" t="s">
        <v>63</v>
      </c>
      <c r="E520" s="7" t="s">
        <v>28</v>
      </c>
      <c r="F520" s="9">
        <v>599.66999999999996</v>
      </c>
      <c r="G520" s="9">
        <v>265.76</v>
      </c>
      <c r="H520" s="7">
        <v>3</v>
      </c>
      <c r="I520" s="10">
        <f t="shared" si="16"/>
        <v>0.4431770807277336</v>
      </c>
      <c r="J520" s="7" t="str">
        <f t="shared" si="17"/>
        <v>Low</v>
      </c>
    </row>
    <row r="521" spans="1:10" x14ac:dyDescent="0.3">
      <c r="A521" s="7" t="s">
        <v>753</v>
      </c>
      <c r="B521" s="8" t="s">
        <v>746</v>
      </c>
      <c r="C521" s="7" t="s">
        <v>32</v>
      </c>
      <c r="D521" s="7" t="s">
        <v>60</v>
      </c>
      <c r="E521" s="7" t="s">
        <v>28</v>
      </c>
      <c r="F521" s="9">
        <v>398.25</v>
      </c>
      <c r="G521" s="9">
        <v>165.8</v>
      </c>
      <c r="H521" s="7">
        <v>1</v>
      </c>
      <c r="I521" s="10">
        <f t="shared" si="16"/>
        <v>0.41632140615191465</v>
      </c>
      <c r="J521" s="7" t="str">
        <f t="shared" si="17"/>
        <v>Low</v>
      </c>
    </row>
    <row r="522" spans="1:10" x14ac:dyDescent="0.3">
      <c r="A522" s="7" t="s">
        <v>754</v>
      </c>
      <c r="B522" s="8" t="s">
        <v>755</v>
      </c>
      <c r="C522" s="7" t="s">
        <v>32</v>
      </c>
      <c r="D522" s="7" t="s">
        <v>43</v>
      </c>
      <c r="E522" s="7" t="s">
        <v>24</v>
      </c>
      <c r="F522" s="9">
        <v>298.89</v>
      </c>
      <c r="G522" s="9">
        <v>74.84</v>
      </c>
      <c r="H522" s="7">
        <v>3</v>
      </c>
      <c r="I522" s="10">
        <f t="shared" si="16"/>
        <v>0.25039312121516277</v>
      </c>
      <c r="J522" s="7" t="str">
        <f t="shared" si="17"/>
        <v>Low</v>
      </c>
    </row>
    <row r="523" spans="1:10" x14ac:dyDescent="0.3">
      <c r="A523" s="7" t="s">
        <v>756</v>
      </c>
      <c r="B523" s="8" t="s">
        <v>757</v>
      </c>
      <c r="C523" s="7" t="s">
        <v>22</v>
      </c>
      <c r="D523" s="7" t="s">
        <v>70</v>
      </c>
      <c r="E523" s="7" t="s">
        <v>14</v>
      </c>
      <c r="F523" s="9">
        <v>757.88</v>
      </c>
      <c r="G523" s="9">
        <v>199.26</v>
      </c>
      <c r="H523" s="7">
        <v>2</v>
      </c>
      <c r="I523" s="10">
        <f t="shared" si="16"/>
        <v>0.26291761228690558</v>
      </c>
      <c r="J523" s="7" t="str">
        <f t="shared" si="17"/>
        <v>Low</v>
      </c>
    </row>
    <row r="524" spans="1:10" x14ac:dyDescent="0.3">
      <c r="A524" s="7" t="s">
        <v>758</v>
      </c>
      <c r="B524" s="8" t="s">
        <v>759</v>
      </c>
      <c r="C524" s="7" t="s">
        <v>22</v>
      </c>
      <c r="D524" s="7" t="s">
        <v>63</v>
      </c>
      <c r="E524" s="7" t="s">
        <v>28</v>
      </c>
      <c r="F524" s="9">
        <v>184.75</v>
      </c>
      <c r="G524" s="9">
        <v>75.28</v>
      </c>
      <c r="H524" s="7">
        <v>1</v>
      </c>
      <c r="I524" s="10">
        <f t="shared" si="16"/>
        <v>0.40746955345060892</v>
      </c>
      <c r="J524" s="7" t="str">
        <f t="shared" si="17"/>
        <v>Low</v>
      </c>
    </row>
    <row r="525" spans="1:10" x14ac:dyDescent="0.3">
      <c r="A525" s="7" t="s">
        <v>760</v>
      </c>
      <c r="B525" s="8" t="s">
        <v>759</v>
      </c>
      <c r="C525" s="7" t="s">
        <v>12</v>
      </c>
      <c r="D525" s="7" t="s">
        <v>70</v>
      </c>
      <c r="E525" s="7" t="s">
        <v>14</v>
      </c>
      <c r="F525" s="9">
        <v>365.4</v>
      </c>
      <c r="G525" s="9">
        <v>81.58</v>
      </c>
      <c r="H525" s="7">
        <v>1</v>
      </c>
      <c r="I525" s="10">
        <f t="shared" si="16"/>
        <v>0.22326217843459223</v>
      </c>
      <c r="J525" s="7" t="str">
        <f t="shared" si="17"/>
        <v>Low</v>
      </c>
    </row>
    <row r="526" spans="1:10" x14ac:dyDescent="0.3">
      <c r="A526" s="7" t="s">
        <v>761</v>
      </c>
      <c r="B526" s="8" t="s">
        <v>762</v>
      </c>
      <c r="C526" s="7" t="s">
        <v>20</v>
      </c>
      <c r="D526" s="7" t="s">
        <v>85</v>
      </c>
      <c r="E526" s="7" t="s">
        <v>24</v>
      </c>
      <c r="F526" s="9">
        <v>3761</v>
      </c>
      <c r="G526" s="9">
        <v>1783.27</v>
      </c>
      <c r="H526" s="7">
        <v>10</v>
      </c>
      <c r="I526" s="10">
        <f t="shared" si="16"/>
        <v>0.47414783302313213</v>
      </c>
      <c r="J526" s="7" t="str">
        <f t="shared" si="17"/>
        <v>Medium</v>
      </c>
    </row>
    <row r="527" spans="1:10" x14ac:dyDescent="0.3">
      <c r="A527" s="7" t="s">
        <v>763</v>
      </c>
      <c r="B527" s="8" t="s">
        <v>762</v>
      </c>
      <c r="C527" s="7" t="s">
        <v>12</v>
      </c>
      <c r="D527" s="7" t="s">
        <v>34</v>
      </c>
      <c r="E527" s="7" t="s">
        <v>24</v>
      </c>
      <c r="F527" s="9">
        <v>738.66</v>
      </c>
      <c r="G527" s="9">
        <v>179.11</v>
      </c>
      <c r="H527" s="7">
        <v>2</v>
      </c>
      <c r="I527" s="10">
        <f t="shared" si="16"/>
        <v>0.2424796252673761</v>
      </c>
      <c r="J527" s="7" t="str">
        <f t="shared" si="17"/>
        <v>Low</v>
      </c>
    </row>
    <row r="528" spans="1:10" x14ac:dyDescent="0.3">
      <c r="A528" s="7" t="s">
        <v>764</v>
      </c>
      <c r="B528" s="8" t="s">
        <v>762</v>
      </c>
      <c r="C528" s="7" t="s">
        <v>32</v>
      </c>
      <c r="D528" s="7" t="s">
        <v>70</v>
      </c>
      <c r="E528" s="7" t="s">
        <v>14</v>
      </c>
      <c r="F528" s="9">
        <v>690.26</v>
      </c>
      <c r="G528" s="9">
        <v>120.53</v>
      </c>
      <c r="H528" s="7">
        <v>2</v>
      </c>
      <c r="I528" s="10">
        <f t="shared" si="16"/>
        <v>0.17461536232723901</v>
      </c>
      <c r="J528" s="7" t="str">
        <f t="shared" si="17"/>
        <v>Low</v>
      </c>
    </row>
    <row r="529" spans="1:10" x14ac:dyDescent="0.3">
      <c r="A529" s="7" t="s">
        <v>765</v>
      </c>
      <c r="B529" s="8" t="s">
        <v>766</v>
      </c>
      <c r="C529" s="7" t="s">
        <v>20</v>
      </c>
      <c r="D529" s="7" t="s">
        <v>54</v>
      </c>
      <c r="E529" s="7" t="s">
        <v>28</v>
      </c>
      <c r="F529" s="9">
        <v>265.66000000000003</v>
      </c>
      <c r="G529" s="9">
        <v>103.37</v>
      </c>
      <c r="H529" s="7">
        <v>2</v>
      </c>
      <c r="I529" s="10">
        <f t="shared" si="16"/>
        <v>0.38910637657155761</v>
      </c>
      <c r="J529" s="7" t="str">
        <f t="shared" si="17"/>
        <v>Low</v>
      </c>
    </row>
    <row r="530" spans="1:10" x14ac:dyDescent="0.3">
      <c r="A530" s="7" t="s">
        <v>767</v>
      </c>
      <c r="B530" s="8" t="s">
        <v>768</v>
      </c>
      <c r="C530" s="7" t="s">
        <v>32</v>
      </c>
      <c r="D530" s="7" t="s">
        <v>27</v>
      </c>
      <c r="E530" s="7" t="s">
        <v>28</v>
      </c>
      <c r="F530" s="9">
        <v>334.65</v>
      </c>
      <c r="G530" s="9">
        <v>81.58</v>
      </c>
      <c r="H530" s="7">
        <v>1</v>
      </c>
      <c r="I530" s="10">
        <f t="shared" si="16"/>
        <v>0.243777080531899</v>
      </c>
      <c r="J530" s="7" t="str">
        <f t="shared" si="17"/>
        <v>Low</v>
      </c>
    </row>
    <row r="531" spans="1:10" x14ac:dyDescent="0.3">
      <c r="A531" s="7" t="s">
        <v>769</v>
      </c>
      <c r="B531" s="8" t="s">
        <v>768</v>
      </c>
      <c r="C531" s="7" t="s">
        <v>22</v>
      </c>
      <c r="D531" s="7" t="s">
        <v>70</v>
      </c>
      <c r="E531" s="7" t="s">
        <v>14</v>
      </c>
      <c r="F531" s="9">
        <v>737.64</v>
      </c>
      <c r="G531" s="9">
        <v>190.4</v>
      </c>
      <c r="H531" s="7">
        <v>2</v>
      </c>
      <c r="I531" s="10">
        <f t="shared" si="16"/>
        <v>0.25812049238110735</v>
      </c>
      <c r="J531" s="7" t="str">
        <f t="shared" si="17"/>
        <v>Low</v>
      </c>
    </row>
    <row r="532" spans="1:10" x14ac:dyDescent="0.3">
      <c r="A532" s="7" t="s">
        <v>770</v>
      </c>
      <c r="B532" s="8" t="s">
        <v>771</v>
      </c>
      <c r="C532" s="7" t="s">
        <v>22</v>
      </c>
      <c r="D532" s="7" t="s">
        <v>57</v>
      </c>
      <c r="E532" s="7" t="s">
        <v>18</v>
      </c>
      <c r="F532" s="9">
        <v>357.02</v>
      </c>
      <c r="G532" s="9">
        <v>115.15</v>
      </c>
      <c r="H532" s="7">
        <v>2</v>
      </c>
      <c r="I532" s="10">
        <f t="shared" si="16"/>
        <v>0.32253095064702259</v>
      </c>
      <c r="J532" s="7" t="str">
        <f t="shared" si="17"/>
        <v>Low</v>
      </c>
    </row>
    <row r="533" spans="1:10" x14ac:dyDescent="0.3">
      <c r="A533" s="7" t="s">
        <v>772</v>
      </c>
      <c r="B533" s="8" t="s">
        <v>771</v>
      </c>
      <c r="C533" s="7" t="s">
        <v>12</v>
      </c>
      <c r="D533" s="7" t="s">
        <v>13</v>
      </c>
      <c r="E533" s="7" t="s">
        <v>14</v>
      </c>
      <c r="F533" s="9">
        <v>397.27</v>
      </c>
      <c r="G533" s="9">
        <v>131.11000000000001</v>
      </c>
      <c r="H533" s="7">
        <v>1</v>
      </c>
      <c r="I533" s="10">
        <f t="shared" si="16"/>
        <v>0.33002743725929473</v>
      </c>
      <c r="J533" s="7" t="str">
        <f t="shared" si="17"/>
        <v>Low</v>
      </c>
    </row>
    <row r="534" spans="1:10" x14ac:dyDescent="0.3">
      <c r="A534" s="7" t="s">
        <v>773</v>
      </c>
      <c r="B534" s="8" t="s">
        <v>774</v>
      </c>
      <c r="C534" s="7" t="s">
        <v>20</v>
      </c>
      <c r="D534" s="7" t="s">
        <v>43</v>
      </c>
      <c r="E534" s="7" t="s">
        <v>24</v>
      </c>
      <c r="F534" s="9">
        <v>861.84</v>
      </c>
      <c r="G534" s="9">
        <v>231.92</v>
      </c>
      <c r="H534" s="7">
        <v>8</v>
      </c>
      <c r="I534" s="10">
        <f t="shared" si="16"/>
        <v>0.26909867260744452</v>
      </c>
      <c r="J534" s="7" t="str">
        <f t="shared" si="17"/>
        <v>Low</v>
      </c>
    </row>
    <row r="535" spans="1:10" x14ac:dyDescent="0.3">
      <c r="A535" s="7" t="s">
        <v>775</v>
      </c>
      <c r="B535" s="8" t="s">
        <v>776</v>
      </c>
      <c r="C535" s="7" t="s">
        <v>20</v>
      </c>
      <c r="D535" s="7" t="s">
        <v>112</v>
      </c>
      <c r="E535" s="7" t="s">
        <v>14</v>
      </c>
      <c r="F535" s="9">
        <v>3321.52</v>
      </c>
      <c r="G535" s="9">
        <v>1009.97</v>
      </c>
      <c r="H535" s="7">
        <v>8</v>
      </c>
      <c r="I535" s="10">
        <f t="shared" si="16"/>
        <v>0.3040686191863966</v>
      </c>
      <c r="J535" s="7" t="str">
        <f t="shared" si="17"/>
        <v>Medium</v>
      </c>
    </row>
    <row r="536" spans="1:10" x14ac:dyDescent="0.3">
      <c r="A536" s="7" t="s">
        <v>777</v>
      </c>
      <c r="B536" s="8" t="s">
        <v>776</v>
      </c>
      <c r="C536" s="7" t="s">
        <v>32</v>
      </c>
      <c r="D536" s="7" t="s">
        <v>34</v>
      </c>
      <c r="E536" s="7" t="s">
        <v>24</v>
      </c>
      <c r="F536" s="9">
        <v>339.51</v>
      </c>
      <c r="G536" s="9">
        <v>58.01</v>
      </c>
      <c r="H536" s="7">
        <v>1</v>
      </c>
      <c r="I536" s="10">
        <f t="shared" si="16"/>
        <v>0.17086389207976202</v>
      </c>
      <c r="J536" s="7" t="str">
        <f t="shared" si="17"/>
        <v>Low</v>
      </c>
    </row>
    <row r="537" spans="1:10" x14ac:dyDescent="0.3">
      <c r="A537" s="7" t="s">
        <v>778</v>
      </c>
      <c r="B537" s="8" t="s">
        <v>779</v>
      </c>
      <c r="C537" s="7" t="s">
        <v>22</v>
      </c>
      <c r="D537" s="7" t="s">
        <v>60</v>
      </c>
      <c r="E537" s="7" t="s">
        <v>28</v>
      </c>
      <c r="F537" s="9">
        <v>781.88</v>
      </c>
      <c r="G537" s="9">
        <v>318.82</v>
      </c>
      <c r="H537" s="7">
        <v>2</v>
      </c>
      <c r="I537" s="10">
        <f t="shared" si="16"/>
        <v>0.40776078170563257</v>
      </c>
      <c r="J537" s="7" t="str">
        <f t="shared" si="17"/>
        <v>Low</v>
      </c>
    </row>
    <row r="538" spans="1:10" x14ac:dyDescent="0.3">
      <c r="A538" s="7" t="s">
        <v>780</v>
      </c>
      <c r="B538" s="8" t="s">
        <v>779</v>
      </c>
      <c r="C538" s="7" t="s">
        <v>20</v>
      </c>
      <c r="D538" s="7" t="s">
        <v>112</v>
      </c>
      <c r="E538" s="7" t="s">
        <v>14</v>
      </c>
      <c r="F538" s="9">
        <v>446.23</v>
      </c>
      <c r="G538" s="9">
        <v>169.26</v>
      </c>
      <c r="H538" s="7">
        <v>1</v>
      </c>
      <c r="I538" s="10">
        <f t="shared" si="16"/>
        <v>0.37931111758510183</v>
      </c>
      <c r="J538" s="7" t="str">
        <f t="shared" si="17"/>
        <v>Low</v>
      </c>
    </row>
    <row r="539" spans="1:10" x14ac:dyDescent="0.3">
      <c r="A539" s="7" t="s">
        <v>781</v>
      </c>
      <c r="B539" s="8" t="s">
        <v>779</v>
      </c>
      <c r="C539" s="7" t="s">
        <v>32</v>
      </c>
      <c r="D539" s="7" t="s">
        <v>89</v>
      </c>
      <c r="E539" s="7" t="s">
        <v>24</v>
      </c>
      <c r="F539" s="9">
        <v>840.75</v>
      </c>
      <c r="G539" s="9">
        <v>227.8</v>
      </c>
      <c r="H539" s="7">
        <v>3</v>
      </c>
      <c r="I539" s="10">
        <f t="shared" si="16"/>
        <v>0.27094855783526617</v>
      </c>
      <c r="J539" s="7" t="str">
        <f t="shared" si="17"/>
        <v>Low</v>
      </c>
    </row>
    <row r="540" spans="1:10" x14ac:dyDescent="0.3">
      <c r="A540" s="7" t="s">
        <v>782</v>
      </c>
      <c r="B540" s="8" t="s">
        <v>783</v>
      </c>
      <c r="C540" s="7" t="s">
        <v>12</v>
      </c>
      <c r="D540" s="7" t="s">
        <v>50</v>
      </c>
      <c r="E540" s="7" t="s">
        <v>14</v>
      </c>
      <c r="F540" s="9">
        <v>308.33999999999997</v>
      </c>
      <c r="G540" s="9">
        <v>131.9</v>
      </c>
      <c r="H540" s="7">
        <v>6</v>
      </c>
      <c r="I540" s="10">
        <f t="shared" si="16"/>
        <v>0.42777453460465725</v>
      </c>
      <c r="J540" s="7" t="str">
        <f t="shared" si="17"/>
        <v>Low</v>
      </c>
    </row>
    <row r="541" spans="1:10" x14ac:dyDescent="0.3">
      <c r="A541" s="7" t="s">
        <v>784</v>
      </c>
      <c r="B541" s="8" t="s">
        <v>783</v>
      </c>
      <c r="C541" s="7" t="s">
        <v>32</v>
      </c>
      <c r="D541" s="7" t="s">
        <v>34</v>
      </c>
      <c r="E541" s="7" t="s">
        <v>24</v>
      </c>
      <c r="F541" s="9">
        <v>351.71</v>
      </c>
      <c r="G541" s="9">
        <v>79.61</v>
      </c>
      <c r="H541" s="7">
        <v>1</v>
      </c>
      <c r="I541" s="10">
        <f t="shared" si="16"/>
        <v>0.226351255295556</v>
      </c>
      <c r="J541" s="7" t="str">
        <f t="shared" si="17"/>
        <v>Low</v>
      </c>
    </row>
    <row r="542" spans="1:10" x14ac:dyDescent="0.3">
      <c r="A542" s="7" t="s">
        <v>785</v>
      </c>
      <c r="B542" s="8" t="s">
        <v>783</v>
      </c>
      <c r="C542" s="7" t="s">
        <v>22</v>
      </c>
      <c r="D542" s="7" t="s">
        <v>27</v>
      </c>
      <c r="E542" s="7" t="s">
        <v>28</v>
      </c>
      <c r="F542" s="9">
        <v>1923.72</v>
      </c>
      <c r="G542" s="9">
        <v>424.29</v>
      </c>
      <c r="H542" s="7">
        <v>6</v>
      </c>
      <c r="I542" s="10">
        <f t="shared" si="16"/>
        <v>0.22055704572390994</v>
      </c>
      <c r="J542" s="7" t="str">
        <f t="shared" si="17"/>
        <v>Medium</v>
      </c>
    </row>
    <row r="543" spans="1:10" x14ac:dyDescent="0.3">
      <c r="A543" s="7" t="s">
        <v>786</v>
      </c>
      <c r="B543" s="8" t="s">
        <v>787</v>
      </c>
      <c r="C543" s="7" t="s">
        <v>20</v>
      </c>
      <c r="D543" s="7" t="s">
        <v>23</v>
      </c>
      <c r="E543" s="7" t="s">
        <v>24</v>
      </c>
      <c r="F543" s="9">
        <v>105.3</v>
      </c>
      <c r="G543" s="9">
        <v>29.24</v>
      </c>
      <c r="H543" s="7">
        <v>1</v>
      </c>
      <c r="I543" s="10">
        <f t="shared" si="16"/>
        <v>0.27768281101614434</v>
      </c>
      <c r="J543" s="7" t="str">
        <f t="shared" si="17"/>
        <v>Low</v>
      </c>
    </row>
    <row r="544" spans="1:10" x14ac:dyDescent="0.3">
      <c r="A544" s="7" t="s">
        <v>788</v>
      </c>
      <c r="B544" s="8" t="s">
        <v>787</v>
      </c>
      <c r="C544" s="7" t="s">
        <v>12</v>
      </c>
      <c r="D544" s="7" t="s">
        <v>57</v>
      </c>
      <c r="E544" s="7" t="s">
        <v>18</v>
      </c>
      <c r="F544" s="9">
        <v>1319.04</v>
      </c>
      <c r="G544" s="9">
        <v>300.06</v>
      </c>
      <c r="H544" s="7">
        <v>8</v>
      </c>
      <c r="I544" s="10">
        <f t="shared" si="16"/>
        <v>0.22748362445414849</v>
      </c>
      <c r="J544" s="7" t="str">
        <f t="shared" si="17"/>
        <v>Low</v>
      </c>
    </row>
    <row r="545" spans="1:10" x14ac:dyDescent="0.3">
      <c r="A545" s="7" t="s">
        <v>789</v>
      </c>
      <c r="B545" s="8" t="s">
        <v>787</v>
      </c>
      <c r="C545" s="7" t="s">
        <v>20</v>
      </c>
      <c r="D545" s="7" t="s">
        <v>27</v>
      </c>
      <c r="E545" s="7" t="s">
        <v>28</v>
      </c>
      <c r="F545" s="9">
        <v>309.2</v>
      </c>
      <c r="G545" s="9">
        <v>46.78</v>
      </c>
      <c r="H545" s="7">
        <v>1</v>
      </c>
      <c r="I545" s="10">
        <f t="shared" si="16"/>
        <v>0.15129366106080208</v>
      </c>
      <c r="J545" s="7" t="str">
        <f t="shared" si="17"/>
        <v>Low</v>
      </c>
    </row>
    <row r="546" spans="1:10" x14ac:dyDescent="0.3">
      <c r="A546" s="7" t="s">
        <v>790</v>
      </c>
      <c r="B546" s="8" t="s">
        <v>791</v>
      </c>
      <c r="C546" s="7" t="s">
        <v>32</v>
      </c>
      <c r="D546" s="7" t="s">
        <v>70</v>
      </c>
      <c r="E546" s="7" t="s">
        <v>14</v>
      </c>
      <c r="F546" s="9">
        <v>686.68</v>
      </c>
      <c r="G546" s="9">
        <v>141.11000000000001</v>
      </c>
      <c r="H546" s="7">
        <v>2</v>
      </c>
      <c r="I546" s="10">
        <f t="shared" si="16"/>
        <v>0.20549600978621776</v>
      </c>
      <c r="J546" s="7" t="str">
        <f t="shared" si="17"/>
        <v>Low</v>
      </c>
    </row>
    <row r="547" spans="1:10" x14ac:dyDescent="0.3">
      <c r="A547" s="7" t="s">
        <v>792</v>
      </c>
      <c r="B547" s="8" t="s">
        <v>791</v>
      </c>
      <c r="C547" s="7" t="s">
        <v>12</v>
      </c>
      <c r="D547" s="7" t="s">
        <v>57</v>
      </c>
      <c r="E547" s="7" t="s">
        <v>18</v>
      </c>
      <c r="F547" s="9">
        <v>161.35</v>
      </c>
      <c r="G547" s="9">
        <v>36.520000000000003</v>
      </c>
      <c r="H547" s="7">
        <v>1</v>
      </c>
      <c r="I547" s="10">
        <f t="shared" si="16"/>
        <v>0.22634025410598083</v>
      </c>
      <c r="J547" s="7" t="str">
        <f t="shared" si="17"/>
        <v>Low</v>
      </c>
    </row>
    <row r="548" spans="1:10" x14ac:dyDescent="0.3">
      <c r="A548" s="7" t="s">
        <v>793</v>
      </c>
      <c r="B548" s="8" t="s">
        <v>794</v>
      </c>
      <c r="C548" s="7" t="s">
        <v>32</v>
      </c>
      <c r="D548" s="7" t="s">
        <v>50</v>
      </c>
      <c r="E548" s="7" t="s">
        <v>14</v>
      </c>
      <c r="F548" s="9">
        <v>231.9</v>
      </c>
      <c r="G548" s="9">
        <v>85.41</v>
      </c>
      <c r="H548" s="7">
        <v>5</v>
      </c>
      <c r="I548" s="10">
        <f t="shared" si="16"/>
        <v>0.36830530401034928</v>
      </c>
      <c r="J548" s="7" t="str">
        <f t="shared" si="17"/>
        <v>Low</v>
      </c>
    </row>
    <row r="549" spans="1:10" x14ac:dyDescent="0.3">
      <c r="A549" s="7" t="s">
        <v>795</v>
      </c>
      <c r="B549" s="8" t="s">
        <v>794</v>
      </c>
      <c r="C549" s="7" t="s">
        <v>20</v>
      </c>
      <c r="D549" s="7" t="s">
        <v>112</v>
      </c>
      <c r="E549" s="7" t="s">
        <v>14</v>
      </c>
      <c r="F549" s="9">
        <v>820.56</v>
      </c>
      <c r="G549" s="9">
        <v>250.54</v>
      </c>
      <c r="H549" s="7">
        <v>2</v>
      </c>
      <c r="I549" s="10">
        <f t="shared" si="16"/>
        <v>0.30532806863605344</v>
      </c>
      <c r="J549" s="7" t="str">
        <f t="shared" si="17"/>
        <v>Low</v>
      </c>
    </row>
    <row r="550" spans="1:10" x14ac:dyDescent="0.3">
      <c r="A550" s="7" t="s">
        <v>796</v>
      </c>
      <c r="B550" s="8" t="s">
        <v>797</v>
      </c>
      <c r="C550" s="7" t="s">
        <v>20</v>
      </c>
      <c r="D550" s="7" t="s">
        <v>23</v>
      </c>
      <c r="E550" s="7" t="s">
        <v>24</v>
      </c>
      <c r="F550" s="9">
        <v>292.29000000000002</v>
      </c>
      <c r="G550" s="9">
        <v>61.59</v>
      </c>
      <c r="H550" s="7">
        <v>3</v>
      </c>
      <c r="I550" s="10">
        <f t="shared" si="16"/>
        <v>0.21071538540490609</v>
      </c>
      <c r="J550" s="7" t="str">
        <f t="shared" si="17"/>
        <v>Low</v>
      </c>
    </row>
    <row r="551" spans="1:10" x14ac:dyDescent="0.3">
      <c r="A551" s="7" t="s">
        <v>798</v>
      </c>
      <c r="B551" s="8" t="s">
        <v>799</v>
      </c>
      <c r="C551" s="7" t="s">
        <v>32</v>
      </c>
      <c r="D551" s="7" t="s">
        <v>17</v>
      </c>
      <c r="E551" s="7" t="s">
        <v>18</v>
      </c>
      <c r="F551" s="9">
        <v>1170.3</v>
      </c>
      <c r="G551" s="9">
        <v>349.87</v>
      </c>
      <c r="H551" s="7">
        <v>3</v>
      </c>
      <c r="I551" s="10">
        <f t="shared" si="16"/>
        <v>0.29895753225668631</v>
      </c>
      <c r="J551" s="7" t="str">
        <f t="shared" si="17"/>
        <v>Low</v>
      </c>
    </row>
    <row r="552" spans="1:10" x14ac:dyDescent="0.3">
      <c r="A552" s="7" t="s">
        <v>800</v>
      </c>
      <c r="B552" s="8" t="s">
        <v>799</v>
      </c>
      <c r="C552" s="7" t="s">
        <v>20</v>
      </c>
      <c r="D552" s="7" t="s">
        <v>54</v>
      </c>
      <c r="E552" s="7" t="s">
        <v>28</v>
      </c>
      <c r="F552" s="9">
        <v>540.64</v>
      </c>
      <c r="G552" s="9">
        <v>218.48</v>
      </c>
      <c r="H552" s="7">
        <v>4</v>
      </c>
      <c r="I552" s="10">
        <f t="shared" si="16"/>
        <v>0.40411364308967151</v>
      </c>
      <c r="J552" s="7" t="str">
        <f t="shared" si="17"/>
        <v>Low</v>
      </c>
    </row>
    <row r="553" spans="1:10" x14ac:dyDescent="0.3">
      <c r="A553" s="7" t="s">
        <v>801</v>
      </c>
      <c r="B553" s="8" t="s">
        <v>802</v>
      </c>
      <c r="C553" s="7" t="s">
        <v>32</v>
      </c>
      <c r="D553" s="7" t="s">
        <v>23</v>
      </c>
      <c r="E553" s="7" t="s">
        <v>24</v>
      </c>
      <c r="F553" s="9">
        <v>290.52</v>
      </c>
      <c r="G553" s="9">
        <v>60.64</v>
      </c>
      <c r="H553" s="7">
        <v>3</v>
      </c>
      <c r="I553" s="10">
        <f t="shared" si="16"/>
        <v>0.20872917527192622</v>
      </c>
      <c r="J553" s="7" t="str">
        <f t="shared" si="17"/>
        <v>Low</v>
      </c>
    </row>
    <row r="554" spans="1:10" x14ac:dyDescent="0.3">
      <c r="A554" s="7" t="s">
        <v>803</v>
      </c>
      <c r="B554" s="8" t="s">
        <v>802</v>
      </c>
      <c r="C554" s="7" t="s">
        <v>20</v>
      </c>
      <c r="D554" s="7" t="s">
        <v>89</v>
      </c>
      <c r="E554" s="7" t="s">
        <v>24</v>
      </c>
      <c r="F554" s="9">
        <v>274.94</v>
      </c>
      <c r="G554" s="9">
        <v>65.66</v>
      </c>
      <c r="H554" s="7">
        <v>1</v>
      </c>
      <c r="I554" s="10">
        <f t="shared" si="16"/>
        <v>0.23881574161635266</v>
      </c>
      <c r="J554" s="7" t="str">
        <f t="shared" si="17"/>
        <v>Low</v>
      </c>
    </row>
    <row r="555" spans="1:10" x14ac:dyDescent="0.3">
      <c r="A555" s="7" t="s">
        <v>804</v>
      </c>
      <c r="B555" s="8" t="s">
        <v>802</v>
      </c>
      <c r="C555" s="7" t="s">
        <v>20</v>
      </c>
      <c r="D555" s="7" t="s">
        <v>63</v>
      </c>
      <c r="E555" s="7" t="s">
        <v>28</v>
      </c>
      <c r="F555" s="9">
        <v>564.45000000000005</v>
      </c>
      <c r="G555" s="9">
        <v>244.32</v>
      </c>
      <c r="H555" s="7">
        <v>3</v>
      </c>
      <c r="I555" s="10">
        <f t="shared" si="16"/>
        <v>0.43284613340419875</v>
      </c>
      <c r="J555" s="7" t="str">
        <f t="shared" si="17"/>
        <v>Low</v>
      </c>
    </row>
    <row r="556" spans="1:10" x14ac:dyDescent="0.3">
      <c r="A556" s="7" t="s">
        <v>805</v>
      </c>
      <c r="B556" s="8" t="s">
        <v>802</v>
      </c>
      <c r="C556" s="7" t="s">
        <v>22</v>
      </c>
      <c r="D556" s="7" t="s">
        <v>60</v>
      </c>
      <c r="E556" s="7" t="s">
        <v>28</v>
      </c>
      <c r="F556" s="9">
        <v>1152.81</v>
      </c>
      <c r="G556" s="9">
        <v>450.12</v>
      </c>
      <c r="H556" s="7">
        <v>3</v>
      </c>
      <c r="I556" s="10">
        <f t="shared" si="16"/>
        <v>0.39045462825617405</v>
      </c>
      <c r="J556" s="7" t="str">
        <f t="shared" si="17"/>
        <v>Low</v>
      </c>
    </row>
    <row r="557" spans="1:10" x14ac:dyDescent="0.3">
      <c r="A557" s="7" t="s">
        <v>806</v>
      </c>
      <c r="B557" s="8" t="s">
        <v>802</v>
      </c>
      <c r="C557" s="7" t="s">
        <v>22</v>
      </c>
      <c r="D557" s="7" t="s">
        <v>50</v>
      </c>
      <c r="E557" s="7" t="s">
        <v>14</v>
      </c>
      <c r="F557" s="9">
        <v>47.9</v>
      </c>
      <c r="G557" s="9">
        <v>19.68</v>
      </c>
      <c r="H557" s="7">
        <v>1</v>
      </c>
      <c r="I557" s="10">
        <f t="shared" si="16"/>
        <v>0.41085594989561586</v>
      </c>
      <c r="J557" s="7" t="str">
        <f t="shared" si="17"/>
        <v>Low</v>
      </c>
    </row>
    <row r="558" spans="1:10" x14ac:dyDescent="0.3">
      <c r="A558" s="7" t="s">
        <v>807</v>
      </c>
      <c r="B558" s="8" t="s">
        <v>802</v>
      </c>
      <c r="C558" s="7" t="s">
        <v>32</v>
      </c>
      <c r="D558" s="7" t="s">
        <v>27</v>
      </c>
      <c r="E558" s="7" t="s">
        <v>28</v>
      </c>
      <c r="F558" s="9">
        <v>622.22</v>
      </c>
      <c r="G558" s="9">
        <v>113.21</v>
      </c>
      <c r="H558" s="7">
        <v>2</v>
      </c>
      <c r="I558" s="10">
        <f t="shared" si="16"/>
        <v>0.18194529266175949</v>
      </c>
      <c r="J558" s="7" t="str">
        <f t="shared" si="17"/>
        <v>Low</v>
      </c>
    </row>
    <row r="559" spans="1:10" x14ac:dyDescent="0.3">
      <c r="A559" s="7" t="s">
        <v>808</v>
      </c>
      <c r="B559" s="8" t="s">
        <v>809</v>
      </c>
      <c r="C559" s="7" t="s">
        <v>12</v>
      </c>
      <c r="D559" s="7" t="s">
        <v>17</v>
      </c>
      <c r="E559" s="7" t="s">
        <v>18</v>
      </c>
      <c r="F559" s="9">
        <v>3618.6</v>
      </c>
      <c r="G559" s="9">
        <v>965.24</v>
      </c>
      <c r="H559" s="7">
        <v>10</v>
      </c>
      <c r="I559" s="10">
        <f t="shared" si="16"/>
        <v>0.2667440446581551</v>
      </c>
      <c r="J559" s="7" t="str">
        <f t="shared" si="17"/>
        <v>Medium</v>
      </c>
    </row>
    <row r="560" spans="1:10" x14ac:dyDescent="0.3">
      <c r="A560" s="7" t="s">
        <v>810</v>
      </c>
      <c r="B560" s="8" t="s">
        <v>809</v>
      </c>
      <c r="C560" s="7" t="s">
        <v>22</v>
      </c>
      <c r="D560" s="7" t="s">
        <v>60</v>
      </c>
      <c r="E560" s="7" t="s">
        <v>28</v>
      </c>
      <c r="F560" s="9">
        <v>404.23</v>
      </c>
      <c r="G560" s="9">
        <v>178.16</v>
      </c>
      <c r="H560" s="7">
        <v>1</v>
      </c>
      <c r="I560" s="10">
        <f t="shared" si="16"/>
        <v>0.44073918313831234</v>
      </c>
      <c r="J560" s="7" t="str">
        <f t="shared" si="17"/>
        <v>Low</v>
      </c>
    </row>
    <row r="561" spans="1:10" x14ac:dyDescent="0.3">
      <c r="A561" s="7" t="s">
        <v>811</v>
      </c>
      <c r="B561" s="8" t="s">
        <v>809</v>
      </c>
      <c r="C561" s="7" t="s">
        <v>20</v>
      </c>
      <c r="D561" s="7" t="s">
        <v>41</v>
      </c>
      <c r="E561" s="7" t="s">
        <v>28</v>
      </c>
      <c r="F561" s="9">
        <v>573.5</v>
      </c>
      <c r="G561" s="9">
        <v>250.44</v>
      </c>
      <c r="H561" s="7">
        <v>2</v>
      </c>
      <c r="I561" s="10">
        <f t="shared" si="16"/>
        <v>0.43668700959023538</v>
      </c>
      <c r="J561" s="7" t="str">
        <f t="shared" si="17"/>
        <v>Low</v>
      </c>
    </row>
    <row r="562" spans="1:10" x14ac:dyDescent="0.3">
      <c r="A562" s="7" t="s">
        <v>812</v>
      </c>
      <c r="B562" s="8" t="s">
        <v>813</v>
      </c>
      <c r="C562" s="7" t="s">
        <v>12</v>
      </c>
      <c r="D562" s="7" t="s">
        <v>70</v>
      </c>
      <c r="E562" s="7" t="s">
        <v>14</v>
      </c>
      <c r="F562" s="9">
        <v>375.69</v>
      </c>
      <c r="G562" s="9">
        <v>96.1</v>
      </c>
      <c r="H562" s="7">
        <v>1</v>
      </c>
      <c r="I562" s="10">
        <f t="shared" si="16"/>
        <v>0.25579600202294445</v>
      </c>
      <c r="J562" s="7" t="str">
        <f t="shared" si="17"/>
        <v>Low</v>
      </c>
    </row>
    <row r="563" spans="1:10" x14ac:dyDescent="0.3">
      <c r="A563" s="7" t="s">
        <v>814</v>
      </c>
      <c r="B563" s="8" t="s">
        <v>813</v>
      </c>
      <c r="C563" s="7" t="s">
        <v>12</v>
      </c>
      <c r="D563" s="7" t="s">
        <v>41</v>
      </c>
      <c r="E563" s="7" t="s">
        <v>28</v>
      </c>
      <c r="F563" s="9">
        <v>539.86</v>
      </c>
      <c r="G563" s="9">
        <v>224.19</v>
      </c>
      <c r="H563" s="7">
        <v>2</v>
      </c>
      <c r="I563" s="10">
        <f t="shared" si="16"/>
        <v>0.41527433038195088</v>
      </c>
      <c r="J563" s="7" t="str">
        <f t="shared" si="17"/>
        <v>Low</v>
      </c>
    </row>
    <row r="564" spans="1:10" x14ac:dyDescent="0.3">
      <c r="A564" s="7" t="s">
        <v>815</v>
      </c>
      <c r="B564" s="8" t="s">
        <v>813</v>
      </c>
      <c r="C564" s="7" t="s">
        <v>12</v>
      </c>
      <c r="D564" s="7" t="s">
        <v>17</v>
      </c>
      <c r="E564" s="7" t="s">
        <v>18</v>
      </c>
      <c r="F564" s="9">
        <v>1815.3</v>
      </c>
      <c r="G564" s="9">
        <v>405.37</v>
      </c>
      <c r="H564" s="7">
        <v>5</v>
      </c>
      <c r="I564" s="10">
        <f t="shared" si="16"/>
        <v>0.22330744229603924</v>
      </c>
      <c r="J564" s="7" t="str">
        <f t="shared" si="17"/>
        <v>Medium</v>
      </c>
    </row>
    <row r="565" spans="1:10" x14ac:dyDescent="0.3">
      <c r="A565" s="7" t="s">
        <v>816</v>
      </c>
      <c r="B565" s="8" t="s">
        <v>813</v>
      </c>
      <c r="C565" s="7" t="s">
        <v>12</v>
      </c>
      <c r="D565" s="7" t="s">
        <v>41</v>
      </c>
      <c r="E565" s="7" t="s">
        <v>28</v>
      </c>
      <c r="F565" s="9">
        <v>2165.2800000000002</v>
      </c>
      <c r="G565" s="9">
        <v>898.11</v>
      </c>
      <c r="H565" s="7">
        <v>8</v>
      </c>
      <c r="I565" s="10">
        <f t="shared" si="16"/>
        <v>0.41477776546220346</v>
      </c>
      <c r="J565" s="7" t="str">
        <f t="shared" si="17"/>
        <v>Medium</v>
      </c>
    </row>
    <row r="566" spans="1:10" x14ac:dyDescent="0.3">
      <c r="A566" s="7" t="s">
        <v>817</v>
      </c>
      <c r="B566" s="8" t="s">
        <v>818</v>
      </c>
      <c r="C566" s="7" t="s">
        <v>20</v>
      </c>
      <c r="D566" s="7" t="s">
        <v>34</v>
      </c>
      <c r="E566" s="7" t="s">
        <v>24</v>
      </c>
      <c r="F566" s="9">
        <v>1878.6</v>
      </c>
      <c r="G566" s="9">
        <v>512.36</v>
      </c>
      <c r="H566" s="7">
        <v>5</v>
      </c>
      <c r="I566" s="10">
        <f t="shared" si="16"/>
        <v>0.27273501543702761</v>
      </c>
      <c r="J566" s="7" t="str">
        <f t="shared" si="17"/>
        <v>Medium</v>
      </c>
    </row>
    <row r="567" spans="1:10" x14ac:dyDescent="0.3">
      <c r="A567" s="7" t="s">
        <v>819</v>
      </c>
      <c r="B567" s="8" t="s">
        <v>818</v>
      </c>
      <c r="C567" s="7" t="s">
        <v>32</v>
      </c>
      <c r="D567" s="7" t="s">
        <v>38</v>
      </c>
      <c r="E567" s="7" t="s">
        <v>18</v>
      </c>
      <c r="F567" s="9">
        <v>1086.93</v>
      </c>
      <c r="G567" s="9">
        <v>248.97</v>
      </c>
      <c r="H567" s="7">
        <v>3</v>
      </c>
      <c r="I567" s="10">
        <f t="shared" si="16"/>
        <v>0.22905798901493196</v>
      </c>
      <c r="J567" s="7" t="str">
        <f t="shared" si="17"/>
        <v>Low</v>
      </c>
    </row>
    <row r="568" spans="1:10" x14ac:dyDescent="0.3">
      <c r="A568" s="7" t="s">
        <v>820</v>
      </c>
      <c r="B568" s="8" t="s">
        <v>818</v>
      </c>
      <c r="C568" s="7" t="s">
        <v>32</v>
      </c>
      <c r="D568" s="7" t="s">
        <v>34</v>
      </c>
      <c r="E568" s="7" t="s">
        <v>24</v>
      </c>
      <c r="F568" s="9">
        <v>1063.08</v>
      </c>
      <c r="G568" s="9">
        <v>249.99</v>
      </c>
      <c r="H568" s="7">
        <v>3</v>
      </c>
      <c r="I568" s="10">
        <f t="shared" si="16"/>
        <v>0.23515633818715434</v>
      </c>
      <c r="J568" s="7" t="str">
        <f t="shared" si="17"/>
        <v>Low</v>
      </c>
    </row>
    <row r="569" spans="1:10" x14ac:dyDescent="0.3">
      <c r="A569" s="7" t="s">
        <v>821</v>
      </c>
      <c r="B569" s="8" t="s">
        <v>818</v>
      </c>
      <c r="C569" s="7" t="s">
        <v>32</v>
      </c>
      <c r="D569" s="7" t="s">
        <v>57</v>
      </c>
      <c r="E569" s="7" t="s">
        <v>18</v>
      </c>
      <c r="F569" s="9">
        <v>358.62</v>
      </c>
      <c r="G569" s="9">
        <v>119.91</v>
      </c>
      <c r="H569" s="7">
        <v>2</v>
      </c>
      <c r="I569" s="10">
        <f t="shared" si="16"/>
        <v>0.33436506608666555</v>
      </c>
      <c r="J569" s="7" t="str">
        <f t="shared" si="17"/>
        <v>Low</v>
      </c>
    </row>
    <row r="570" spans="1:10" x14ac:dyDescent="0.3">
      <c r="A570" s="7" t="s">
        <v>822</v>
      </c>
      <c r="B570" s="8" t="s">
        <v>818</v>
      </c>
      <c r="C570" s="7" t="s">
        <v>22</v>
      </c>
      <c r="D570" s="7" t="s">
        <v>70</v>
      </c>
      <c r="E570" s="7" t="s">
        <v>14</v>
      </c>
      <c r="F570" s="9">
        <v>1720.95</v>
      </c>
      <c r="G570" s="9">
        <v>359</v>
      </c>
      <c r="H570" s="7">
        <v>5</v>
      </c>
      <c r="I570" s="10">
        <f t="shared" si="16"/>
        <v>0.20860571196141667</v>
      </c>
      <c r="J570" s="7" t="str">
        <f t="shared" si="17"/>
        <v>Medium</v>
      </c>
    </row>
    <row r="571" spans="1:10" x14ac:dyDescent="0.3">
      <c r="A571" s="7" t="s">
        <v>823</v>
      </c>
      <c r="B571" s="8" t="s">
        <v>824</v>
      </c>
      <c r="C571" s="7" t="s">
        <v>12</v>
      </c>
      <c r="D571" s="7" t="s">
        <v>54</v>
      </c>
      <c r="E571" s="7" t="s">
        <v>28</v>
      </c>
      <c r="F571" s="9">
        <v>129.16999999999999</v>
      </c>
      <c r="G571" s="9">
        <v>52.16</v>
      </c>
      <c r="H571" s="7">
        <v>1</v>
      </c>
      <c r="I571" s="10">
        <f t="shared" si="16"/>
        <v>0.4038089339629945</v>
      </c>
      <c r="J571" s="7" t="str">
        <f t="shared" si="17"/>
        <v>Low</v>
      </c>
    </row>
    <row r="572" spans="1:10" x14ac:dyDescent="0.3">
      <c r="A572" s="7" t="s">
        <v>825</v>
      </c>
      <c r="B572" s="8" t="s">
        <v>824</v>
      </c>
      <c r="C572" s="7" t="s">
        <v>22</v>
      </c>
      <c r="D572" s="7" t="s">
        <v>50</v>
      </c>
      <c r="E572" s="7" t="s">
        <v>14</v>
      </c>
      <c r="F572" s="9">
        <v>248.3</v>
      </c>
      <c r="G572" s="9">
        <v>99.83</v>
      </c>
      <c r="H572" s="7">
        <v>5</v>
      </c>
      <c r="I572" s="10">
        <f t="shared" si="16"/>
        <v>0.40205396697543294</v>
      </c>
      <c r="J572" s="7" t="str">
        <f t="shared" si="17"/>
        <v>Low</v>
      </c>
    </row>
    <row r="573" spans="1:10" x14ac:dyDescent="0.3">
      <c r="A573" s="7" t="s">
        <v>826</v>
      </c>
      <c r="B573" s="8" t="s">
        <v>824</v>
      </c>
      <c r="C573" s="7" t="s">
        <v>12</v>
      </c>
      <c r="D573" s="7" t="s">
        <v>63</v>
      </c>
      <c r="E573" s="7" t="s">
        <v>28</v>
      </c>
      <c r="F573" s="9">
        <v>373.66</v>
      </c>
      <c r="G573" s="9">
        <v>153.94999999999999</v>
      </c>
      <c r="H573" s="7">
        <v>2</v>
      </c>
      <c r="I573" s="10">
        <f t="shared" si="16"/>
        <v>0.41200556655783327</v>
      </c>
      <c r="J573" s="7" t="str">
        <f t="shared" si="17"/>
        <v>Low</v>
      </c>
    </row>
    <row r="574" spans="1:10" x14ac:dyDescent="0.3">
      <c r="A574" s="7" t="s">
        <v>827</v>
      </c>
      <c r="B574" s="8" t="s">
        <v>824</v>
      </c>
      <c r="C574" s="7" t="s">
        <v>20</v>
      </c>
      <c r="D574" s="7" t="s">
        <v>13</v>
      </c>
      <c r="E574" s="7" t="s">
        <v>14</v>
      </c>
      <c r="F574" s="9">
        <v>1809.45</v>
      </c>
      <c r="G574" s="9">
        <v>426.98</v>
      </c>
      <c r="H574" s="7">
        <v>5</v>
      </c>
      <c r="I574" s="10">
        <f t="shared" si="16"/>
        <v>0.23597225676310482</v>
      </c>
      <c r="J574" s="7" t="str">
        <f t="shared" si="17"/>
        <v>Medium</v>
      </c>
    </row>
    <row r="575" spans="1:10" x14ac:dyDescent="0.3">
      <c r="A575" s="7" t="s">
        <v>828</v>
      </c>
      <c r="B575" s="8" t="s">
        <v>829</v>
      </c>
      <c r="C575" s="7" t="s">
        <v>12</v>
      </c>
      <c r="D575" s="7" t="s">
        <v>34</v>
      </c>
      <c r="E575" s="7" t="s">
        <v>24</v>
      </c>
      <c r="F575" s="9">
        <v>372.64</v>
      </c>
      <c r="G575" s="9">
        <v>91.11</v>
      </c>
      <c r="H575" s="7">
        <v>1</v>
      </c>
      <c r="I575" s="10">
        <f t="shared" si="16"/>
        <v>0.24449871189351655</v>
      </c>
      <c r="J575" s="7" t="str">
        <f t="shared" si="17"/>
        <v>Low</v>
      </c>
    </row>
    <row r="576" spans="1:10" x14ac:dyDescent="0.3">
      <c r="A576" s="7" t="s">
        <v>830</v>
      </c>
      <c r="B576" s="8" t="s">
        <v>831</v>
      </c>
      <c r="C576" s="7" t="s">
        <v>32</v>
      </c>
      <c r="D576" s="7" t="s">
        <v>74</v>
      </c>
      <c r="E576" s="7" t="s">
        <v>18</v>
      </c>
      <c r="F576" s="9">
        <v>247.09</v>
      </c>
      <c r="G576" s="9">
        <v>40.19</v>
      </c>
      <c r="H576" s="7">
        <v>1</v>
      </c>
      <c r="I576" s="10">
        <f t="shared" si="16"/>
        <v>0.16265328422841879</v>
      </c>
      <c r="J576" s="7" t="str">
        <f t="shared" si="17"/>
        <v>Low</v>
      </c>
    </row>
    <row r="577" spans="1:10" x14ac:dyDescent="0.3">
      <c r="A577" s="7" t="s">
        <v>832</v>
      </c>
      <c r="B577" s="8" t="s">
        <v>831</v>
      </c>
      <c r="C577" s="7" t="s">
        <v>22</v>
      </c>
      <c r="D577" s="7" t="s">
        <v>41</v>
      </c>
      <c r="E577" s="7" t="s">
        <v>28</v>
      </c>
      <c r="F577" s="9">
        <v>275.75</v>
      </c>
      <c r="G577" s="9">
        <v>110.62</v>
      </c>
      <c r="H577" s="7">
        <v>1</v>
      </c>
      <c r="I577" s="10">
        <f t="shared" si="16"/>
        <v>0.40116047144152311</v>
      </c>
      <c r="J577" s="7" t="str">
        <f t="shared" si="17"/>
        <v>Low</v>
      </c>
    </row>
    <row r="578" spans="1:10" x14ac:dyDescent="0.3">
      <c r="A578" s="7" t="s">
        <v>833</v>
      </c>
      <c r="B578" s="8" t="s">
        <v>831</v>
      </c>
      <c r="C578" s="7" t="s">
        <v>22</v>
      </c>
      <c r="D578" s="7" t="s">
        <v>79</v>
      </c>
      <c r="E578" s="7" t="s">
        <v>14</v>
      </c>
      <c r="F578" s="9">
        <v>160.55000000000001</v>
      </c>
      <c r="G578" s="9">
        <v>66.16</v>
      </c>
      <c r="H578" s="7">
        <v>1</v>
      </c>
      <c r="I578" s="10">
        <f t="shared" ref="I578:I641" si="18">IFERROR(G578/F578,0)</f>
        <v>0.41208346309560878</v>
      </c>
      <c r="J578" s="7" t="str">
        <f t="shared" ref="J578:J641" si="19">IF(F578&gt;5000,"High",IF(F578&gt;1500,"Medium","Low"))</f>
        <v>Low</v>
      </c>
    </row>
    <row r="579" spans="1:10" x14ac:dyDescent="0.3">
      <c r="A579" s="7" t="s">
        <v>834</v>
      </c>
      <c r="B579" s="8" t="s">
        <v>831</v>
      </c>
      <c r="C579" s="7" t="s">
        <v>12</v>
      </c>
      <c r="D579" s="7" t="s">
        <v>85</v>
      </c>
      <c r="E579" s="7" t="s">
        <v>24</v>
      </c>
      <c r="F579" s="9">
        <v>339.29</v>
      </c>
      <c r="G579" s="9">
        <v>132.63999999999999</v>
      </c>
      <c r="H579" s="7">
        <v>1</v>
      </c>
      <c r="I579" s="10">
        <f t="shared" si="18"/>
        <v>0.39093400925461985</v>
      </c>
      <c r="J579" s="7" t="str">
        <f t="shared" si="19"/>
        <v>Low</v>
      </c>
    </row>
    <row r="580" spans="1:10" x14ac:dyDescent="0.3">
      <c r="A580" s="7" t="s">
        <v>835</v>
      </c>
      <c r="B580" s="8" t="s">
        <v>831</v>
      </c>
      <c r="C580" s="7" t="s">
        <v>12</v>
      </c>
      <c r="D580" s="7" t="s">
        <v>43</v>
      </c>
      <c r="E580" s="7" t="s">
        <v>24</v>
      </c>
      <c r="F580" s="9">
        <v>306.42</v>
      </c>
      <c r="G580" s="9">
        <v>86.3</v>
      </c>
      <c r="H580" s="7">
        <v>3</v>
      </c>
      <c r="I580" s="10">
        <f t="shared" si="18"/>
        <v>0.28163957966190195</v>
      </c>
      <c r="J580" s="7" t="str">
        <f t="shared" si="19"/>
        <v>Low</v>
      </c>
    </row>
    <row r="581" spans="1:10" x14ac:dyDescent="0.3">
      <c r="A581" s="7" t="s">
        <v>836</v>
      </c>
      <c r="B581" s="8" t="s">
        <v>837</v>
      </c>
      <c r="C581" s="7" t="s">
        <v>12</v>
      </c>
      <c r="D581" s="7" t="s">
        <v>50</v>
      </c>
      <c r="E581" s="7" t="s">
        <v>14</v>
      </c>
      <c r="F581" s="9">
        <v>90.38</v>
      </c>
      <c r="G581" s="9">
        <v>34.729999999999997</v>
      </c>
      <c r="H581" s="7">
        <v>2</v>
      </c>
      <c r="I581" s="10">
        <f t="shared" si="18"/>
        <v>0.38426643062624471</v>
      </c>
      <c r="J581" s="7" t="str">
        <f t="shared" si="19"/>
        <v>Low</v>
      </c>
    </row>
    <row r="582" spans="1:10" x14ac:dyDescent="0.3">
      <c r="A582" s="7" t="s">
        <v>838</v>
      </c>
      <c r="B582" s="8" t="s">
        <v>837</v>
      </c>
      <c r="C582" s="7" t="s">
        <v>20</v>
      </c>
      <c r="D582" s="7" t="s">
        <v>13</v>
      </c>
      <c r="E582" s="7" t="s">
        <v>14</v>
      </c>
      <c r="F582" s="9">
        <v>2960.4</v>
      </c>
      <c r="G582" s="9">
        <v>822.4</v>
      </c>
      <c r="H582" s="7">
        <v>8</v>
      </c>
      <c r="I582" s="10">
        <f t="shared" si="18"/>
        <v>0.2778002972571274</v>
      </c>
      <c r="J582" s="7" t="str">
        <f t="shared" si="19"/>
        <v>Medium</v>
      </c>
    </row>
    <row r="583" spans="1:10" x14ac:dyDescent="0.3">
      <c r="A583" s="7" t="s">
        <v>839</v>
      </c>
      <c r="B583" s="8" t="s">
        <v>837</v>
      </c>
      <c r="C583" s="7" t="s">
        <v>22</v>
      </c>
      <c r="D583" s="7" t="s">
        <v>23</v>
      </c>
      <c r="E583" s="7" t="s">
        <v>24</v>
      </c>
      <c r="F583" s="9">
        <v>300.39</v>
      </c>
      <c r="G583" s="9">
        <v>76.53</v>
      </c>
      <c r="H583" s="7">
        <v>3</v>
      </c>
      <c r="I583" s="10">
        <f t="shared" si="18"/>
        <v>0.25476880055927298</v>
      </c>
      <c r="J583" s="7" t="str">
        <f t="shared" si="19"/>
        <v>Low</v>
      </c>
    </row>
    <row r="584" spans="1:10" x14ac:dyDescent="0.3">
      <c r="A584" s="7" t="s">
        <v>840</v>
      </c>
      <c r="B584" s="8" t="s">
        <v>841</v>
      </c>
      <c r="C584" s="7" t="s">
        <v>20</v>
      </c>
      <c r="D584" s="7" t="s">
        <v>43</v>
      </c>
      <c r="E584" s="7" t="s">
        <v>24</v>
      </c>
      <c r="F584" s="9">
        <v>98.08</v>
      </c>
      <c r="G584" s="9">
        <v>18.23</v>
      </c>
      <c r="H584" s="7">
        <v>1</v>
      </c>
      <c r="I584" s="10">
        <f t="shared" si="18"/>
        <v>0.18586867862969006</v>
      </c>
      <c r="J584" s="7" t="str">
        <f t="shared" si="19"/>
        <v>Low</v>
      </c>
    </row>
    <row r="585" spans="1:10" x14ac:dyDescent="0.3">
      <c r="A585" s="7" t="s">
        <v>842</v>
      </c>
      <c r="B585" s="8" t="s">
        <v>841</v>
      </c>
      <c r="C585" s="7" t="s">
        <v>12</v>
      </c>
      <c r="D585" s="7" t="s">
        <v>85</v>
      </c>
      <c r="E585" s="7" t="s">
        <v>24</v>
      </c>
      <c r="F585" s="9">
        <v>1022.85</v>
      </c>
      <c r="G585" s="9">
        <v>408.65</v>
      </c>
      <c r="H585" s="7">
        <v>3</v>
      </c>
      <c r="I585" s="10">
        <f t="shared" si="18"/>
        <v>0.39952094637532382</v>
      </c>
      <c r="J585" s="7" t="str">
        <f t="shared" si="19"/>
        <v>Low</v>
      </c>
    </row>
    <row r="586" spans="1:10" x14ac:dyDescent="0.3">
      <c r="A586" s="7" t="s">
        <v>843</v>
      </c>
      <c r="B586" s="8" t="s">
        <v>841</v>
      </c>
      <c r="C586" s="7" t="s">
        <v>12</v>
      </c>
      <c r="D586" s="7" t="s">
        <v>38</v>
      </c>
      <c r="E586" s="7" t="s">
        <v>18</v>
      </c>
      <c r="F586" s="9">
        <v>395.47</v>
      </c>
      <c r="G586" s="9">
        <v>127.02</v>
      </c>
      <c r="H586" s="7">
        <v>1</v>
      </c>
      <c r="I586" s="10">
        <f t="shared" si="18"/>
        <v>0.3211874478468657</v>
      </c>
      <c r="J586" s="7" t="str">
        <f t="shared" si="19"/>
        <v>Low</v>
      </c>
    </row>
    <row r="587" spans="1:10" x14ac:dyDescent="0.3">
      <c r="A587" s="7" t="s">
        <v>844</v>
      </c>
      <c r="B587" s="8" t="s">
        <v>845</v>
      </c>
      <c r="C587" s="7" t="s">
        <v>12</v>
      </c>
      <c r="D587" s="7" t="s">
        <v>74</v>
      </c>
      <c r="E587" s="7" t="s">
        <v>18</v>
      </c>
      <c r="F587" s="9">
        <v>2561.9</v>
      </c>
      <c r="G587" s="9">
        <v>429.07</v>
      </c>
      <c r="H587" s="7">
        <v>10</v>
      </c>
      <c r="I587" s="10">
        <f t="shared" si="18"/>
        <v>0.16748116632187049</v>
      </c>
      <c r="J587" s="7" t="str">
        <f t="shared" si="19"/>
        <v>Medium</v>
      </c>
    </row>
    <row r="588" spans="1:10" x14ac:dyDescent="0.3">
      <c r="A588" s="7" t="s">
        <v>846</v>
      </c>
      <c r="B588" s="8" t="s">
        <v>845</v>
      </c>
      <c r="C588" s="7" t="s">
        <v>32</v>
      </c>
      <c r="D588" s="7" t="s">
        <v>27</v>
      </c>
      <c r="E588" s="7" t="s">
        <v>28</v>
      </c>
      <c r="F588" s="9">
        <v>657.54</v>
      </c>
      <c r="G588" s="9">
        <v>173.71</v>
      </c>
      <c r="H588" s="7">
        <v>2</v>
      </c>
      <c r="I588" s="10">
        <f t="shared" si="18"/>
        <v>0.26418164674392436</v>
      </c>
      <c r="J588" s="7" t="str">
        <f t="shared" si="19"/>
        <v>Low</v>
      </c>
    </row>
    <row r="589" spans="1:10" x14ac:dyDescent="0.3">
      <c r="A589" s="7" t="s">
        <v>847</v>
      </c>
      <c r="B589" s="8" t="s">
        <v>848</v>
      </c>
      <c r="C589" s="7" t="s">
        <v>32</v>
      </c>
      <c r="D589" s="7" t="s">
        <v>60</v>
      </c>
      <c r="E589" s="7" t="s">
        <v>28</v>
      </c>
      <c r="F589" s="9">
        <v>1113.57</v>
      </c>
      <c r="G589" s="9">
        <v>405.03</v>
      </c>
      <c r="H589" s="7">
        <v>3</v>
      </c>
      <c r="I589" s="10">
        <f t="shared" si="18"/>
        <v>0.36372208303025405</v>
      </c>
      <c r="J589" s="7" t="str">
        <f t="shared" si="19"/>
        <v>Low</v>
      </c>
    </row>
    <row r="590" spans="1:10" x14ac:dyDescent="0.3">
      <c r="A590" s="7" t="s">
        <v>849</v>
      </c>
      <c r="B590" s="8" t="s">
        <v>848</v>
      </c>
      <c r="C590" s="7" t="s">
        <v>32</v>
      </c>
      <c r="D590" s="7" t="s">
        <v>60</v>
      </c>
      <c r="E590" s="7" t="s">
        <v>28</v>
      </c>
      <c r="F590" s="9">
        <v>3048.16</v>
      </c>
      <c r="G590" s="9">
        <v>1247.5</v>
      </c>
      <c r="H590" s="7">
        <v>8</v>
      </c>
      <c r="I590" s="10">
        <f t="shared" si="18"/>
        <v>0.40926329326544542</v>
      </c>
      <c r="J590" s="7" t="str">
        <f t="shared" si="19"/>
        <v>Medium</v>
      </c>
    </row>
    <row r="591" spans="1:10" x14ac:dyDescent="0.3">
      <c r="A591" s="7" t="s">
        <v>850</v>
      </c>
      <c r="B591" s="8" t="s">
        <v>848</v>
      </c>
      <c r="C591" s="7" t="s">
        <v>12</v>
      </c>
      <c r="D591" s="7" t="s">
        <v>54</v>
      </c>
      <c r="E591" s="7" t="s">
        <v>28</v>
      </c>
      <c r="F591" s="9">
        <v>373.8</v>
      </c>
      <c r="G591" s="9">
        <v>124.02</v>
      </c>
      <c r="H591" s="7">
        <v>3</v>
      </c>
      <c r="I591" s="10">
        <f t="shared" si="18"/>
        <v>0.33178170144462277</v>
      </c>
      <c r="J591" s="7" t="str">
        <f t="shared" si="19"/>
        <v>Low</v>
      </c>
    </row>
    <row r="592" spans="1:10" x14ac:dyDescent="0.3">
      <c r="A592" s="7" t="s">
        <v>851</v>
      </c>
      <c r="B592" s="8" t="s">
        <v>852</v>
      </c>
      <c r="C592" s="7" t="s">
        <v>32</v>
      </c>
      <c r="D592" s="7" t="s">
        <v>89</v>
      </c>
      <c r="E592" s="7" t="s">
        <v>24</v>
      </c>
      <c r="F592" s="9">
        <v>585.62</v>
      </c>
      <c r="G592" s="9">
        <v>171.43</v>
      </c>
      <c r="H592" s="7">
        <v>2</v>
      </c>
      <c r="I592" s="10">
        <f t="shared" si="18"/>
        <v>0.29273248864451351</v>
      </c>
      <c r="J592" s="7" t="str">
        <f t="shared" si="19"/>
        <v>Low</v>
      </c>
    </row>
    <row r="593" spans="1:10" x14ac:dyDescent="0.3">
      <c r="A593" s="7" t="s">
        <v>853</v>
      </c>
      <c r="B593" s="8" t="s">
        <v>852</v>
      </c>
      <c r="C593" s="7" t="s">
        <v>12</v>
      </c>
      <c r="D593" s="7" t="s">
        <v>41</v>
      </c>
      <c r="E593" s="7" t="s">
        <v>28</v>
      </c>
      <c r="F593" s="9">
        <v>915.21</v>
      </c>
      <c r="G593" s="9">
        <v>440.82</v>
      </c>
      <c r="H593" s="7">
        <v>3</v>
      </c>
      <c r="I593" s="10">
        <f t="shared" si="18"/>
        <v>0.48165994689743336</v>
      </c>
      <c r="J593" s="7" t="str">
        <f t="shared" si="19"/>
        <v>Low</v>
      </c>
    </row>
    <row r="594" spans="1:10" x14ac:dyDescent="0.3">
      <c r="A594" s="7" t="s">
        <v>854</v>
      </c>
      <c r="B594" s="8" t="s">
        <v>855</v>
      </c>
      <c r="C594" s="7" t="s">
        <v>12</v>
      </c>
      <c r="D594" s="7" t="s">
        <v>23</v>
      </c>
      <c r="E594" s="7" t="s">
        <v>24</v>
      </c>
      <c r="F594" s="9">
        <v>106.64</v>
      </c>
      <c r="G594" s="9">
        <v>30.13</v>
      </c>
      <c r="H594" s="7">
        <v>1</v>
      </c>
      <c r="I594" s="10">
        <f t="shared" si="18"/>
        <v>0.28253938484621155</v>
      </c>
      <c r="J594" s="7" t="str">
        <f t="shared" si="19"/>
        <v>Low</v>
      </c>
    </row>
    <row r="595" spans="1:10" x14ac:dyDescent="0.3">
      <c r="A595" s="7" t="s">
        <v>856</v>
      </c>
      <c r="B595" s="8" t="s">
        <v>855</v>
      </c>
      <c r="C595" s="7" t="s">
        <v>32</v>
      </c>
      <c r="D595" s="7" t="s">
        <v>27</v>
      </c>
      <c r="E595" s="7" t="s">
        <v>28</v>
      </c>
      <c r="F595" s="9">
        <v>1562.35</v>
      </c>
      <c r="G595" s="9">
        <v>286.99</v>
      </c>
      <c r="H595" s="7">
        <v>5</v>
      </c>
      <c r="I595" s="10">
        <f t="shared" si="18"/>
        <v>0.18369123435849843</v>
      </c>
      <c r="J595" s="7" t="str">
        <f t="shared" si="19"/>
        <v>Medium</v>
      </c>
    </row>
    <row r="596" spans="1:10" x14ac:dyDescent="0.3">
      <c r="A596" s="7" t="s">
        <v>857</v>
      </c>
      <c r="B596" s="8" t="s">
        <v>855</v>
      </c>
      <c r="C596" s="7" t="s">
        <v>32</v>
      </c>
      <c r="D596" s="7" t="s">
        <v>60</v>
      </c>
      <c r="E596" s="7" t="s">
        <v>28</v>
      </c>
      <c r="F596" s="9">
        <v>407.09</v>
      </c>
      <c r="G596" s="9">
        <v>172.2</v>
      </c>
      <c r="H596" s="7">
        <v>1</v>
      </c>
      <c r="I596" s="10">
        <f t="shared" si="18"/>
        <v>0.42300228450711147</v>
      </c>
      <c r="J596" s="7" t="str">
        <f t="shared" si="19"/>
        <v>Low</v>
      </c>
    </row>
    <row r="597" spans="1:10" x14ac:dyDescent="0.3">
      <c r="A597" s="7" t="s">
        <v>858</v>
      </c>
      <c r="B597" s="8" t="s">
        <v>859</v>
      </c>
      <c r="C597" s="7" t="s">
        <v>20</v>
      </c>
      <c r="D597" s="7" t="s">
        <v>38</v>
      </c>
      <c r="E597" s="7" t="s">
        <v>18</v>
      </c>
      <c r="F597" s="9">
        <v>394.41</v>
      </c>
      <c r="G597" s="9">
        <v>121.8</v>
      </c>
      <c r="H597" s="7">
        <v>1</v>
      </c>
      <c r="I597" s="10">
        <f t="shared" si="18"/>
        <v>0.30881569939910242</v>
      </c>
      <c r="J597" s="7" t="str">
        <f t="shared" si="19"/>
        <v>Low</v>
      </c>
    </row>
    <row r="598" spans="1:10" x14ac:dyDescent="0.3">
      <c r="A598" s="7" t="s">
        <v>860</v>
      </c>
      <c r="B598" s="8" t="s">
        <v>859</v>
      </c>
      <c r="C598" s="7" t="s">
        <v>32</v>
      </c>
      <c r="D598" s="7" t="s">
        <v>54</v>
      </c>
      <c r="E598" s="7" t="s">
        <v>28</v>
      </c>
      <c r="F598" s="9">
        <v>125.91</v>
      </c>
      <c r="G598" s="9">
        <v>47.56</v>
      </c>
      <c r="H598" s="7">
        <v>1</v>
      </c>
      <c r="I598" s="10">
        <f t="shared" si="18"/>
        <v>0.37773012469224054</v>
      </c>
      <c r="J598" s="7" t="str">
        <f t="shared" si="19"/>
        <v>Low</v>
      </c>
    </row>
    <row r="599" spans="1:10" x14ac:dyDescent="0.3">
      <c r="A599" s="7" t="s">
        <v>861</v>
      </c>
      <c r="B599" s="8" t="s">
        <v>859</v>
      </c>
      <c r="C599" s="7" t="s">
        <v>20</v>
      </c>
      <c r="D599" s="7" t="s">
        <v>38</v>
      </c>
      <c r="E599" s="7" t="s">
        <v>18</v>
      </c>
      <c r="F599" s="9">
        <v>1148.82</v>
      </c>
      <c r="G599" s="9">
        <v>294.39</v>
      </c>
      <c r="H599" s="7">
        <v>3</v>
      </c>
      <c r="I599" s="10">
        <f t="shared" si="18"/>
        <v>0.256254243484619</v>
      </c>
      <c r="J599" s="7" t="str">
        <f t="shared" si="19"/>
        <v>Low</v>
      </c>
    </row>
    <row r="600" spans="1:10" x14ac:dyDescent="0.3">
      <c r="A600" s="7" t="s">
        <v>862</v>
      </c>
      <c r="B600" s="8" t="s">
        <v>863</v>
      </c>
      <c r="C600" s="7" t="s">
        <v>22</v>
      </c>
      <c r="D600" s="7" t="s">
        <v>13</v>
      </c>
      <c r="E600" s="7" t="s">
        <v>14</v>
      </c>
      <c r="F600" s="9">
        <v>745.1</v>
      </c>
      <c r="G600" s="9">
        <v>178.9</v>
      </c>
      <c r="H600" s="7">
        <v>2</v>
      </c>
      <c r="I600" s="10">
        <f t="shared" si="18"/>
        <v>0.24010199973157964</v>
      </c>
      <c r="J600" s="7" t="str">
        <f t="shared" si="19"/>
        <v>Low</v>
      </c>
    </row>
    <row r="601" spans="1:10" x14ac:dyDescent="0.3">
      <c r="A601" s="7" t="s">
        <v>864</v>
      </c>
      <c r="B601" s="8" t="s">
        <v>865</v>
      </c>
      <c r="C601" s="7" t="s">
        <v>22</v>
      </c>
      <c r="D601" s="7" t="s">
        <v>43</v>
      </c>
      <c r="E601" s="7" t="s">
        <v>24</v>
      </c>
      <c r="F601" s="9">
        <v>105.57</v>
      </c>
      <c r="G601" s="9">
        <v>28.82</v>
      </c>
      <c r="H601" s="7">
        <v>1</v>
      </c>
      <c r="I601" s="10">
        <f t="shared" si="18"/>
        <v>0.27299422184332672</v>
      </c>
      <c r="J601" s="7" t="str">
        <f t="shared" si="19"/>
        <v>Low</v>
      </c>
    </row>
    <row r="602" spans="1:10" x14ac:dyDescent="0.3">
      <c r="A602" s="7" t="s">
        <v>866</v>
      </c>
      <c r="B602" s="8" t="s">
        <v>865</v>
      </c>
      <c r="C602" s="7" t="s">
        <v>20</v>
      </c>
      <c r="D602" s="7" t="s">
        <v>112</v>
      </c>
      <c r="E602" s="7" t="s">
        <v>14</v>
      </c>
      <c r="F602" s="9">
        <v>1634.12</v>
      </c>
      <c r="G602" s="9">
        <v>563.61</v>
      </c>
      <c r="H602" s="7">
        <v>4</v>
      </c>
      <c r="I602" s="10">
        <f t="shared" si="18"/>
        <v>0.34490123124372757</v>
      </c>
      <c r="J602" s="7" t="str">
        <f t="shared" si="19"/>
        <v>Medium</v>
      </c>
    </row>
    <row r="603" spans="1:10" x14ac:dyDescent="0.3">
      <c r="A603" s="7" t="s">
        <v>867</v>
      </c>
      <c r="B603" s="8" t="s">
        <v>865</v>
      </c>
      <c r="C603" s="7" t="s">
        <v>20</v>
      </c>
      <c r="D603" s="7" t="s">
        <v>38</v>
      </c>
      <c r="E603" s="7" t="s">
        <v>18</v>
      </c>
      <c r="F603" s="9">
        <v>376.66</v>
      </c>
      <c r="G603" s="9">
        <v>104.95</v>
      </c>
      <c r="H603" s="7">
        <v>1</v>
      </c>
      <c r="I603" s="10">
        <f t="shared" si="18"/>
        <v>0.27863325014602025</v>
      </c>
      <c r="J603" s="7" t="str">
        <f t="shared" si="19"/>
        <v>Low</v>
      </c>
    </row>
    <row r="604" spans="1:10" x14ac:dyDescent="0.3">
      <c r="A604" s="7" t="s">
        <v>868</v>
      </c>
      <c r="B604" s="8" t="s">
        <v>865</v>
      </c>
      <c r="C604" s="7" t="s">
        <v>22</v>
      </c>
      <c r="D604" s="7" t="s">
        <v>60</v>
      </c>
      <c r="E604" s="7" t="s">
        <v>28</v>
      </c>
      <c r="F604" s="9">
        <v>2270.52</v>
      </c>
      <c r="G604" s="9">
        <v>885.88</v>
      </c>
      <c r="H604" s="7">
        <v>6</v>
      </c>
      <c r="I604" s="10">
        <f t="shared" si="18"/>
        <v>0.3901661293448197</v>
      </c>
      <c r="J604" s="7" t="str">
        <f t="shared" si="19"/>
        <v>Medium</v>
      </c>
    </row>
    <row r="605" spans="1:10" x14ac:dyDescent="0.3">
      <c r="A605" s="7" t="s">
        <v>869</v>
      </c>
      <c r="B605" s="8" t="s">
        <v>865</v>
      </c>
      <c r="C605" s="7" t="s">
        <v>32</v>
      </c>
      <c r="D605" s="7" t="s">
        <v>13</v>
      </c>
      <c r="E605" s="7" t="s">
        <v>14</v>
      </c>
      <c r="F605" s="9">
        <v>3757.8</v>
      </c>
      <c r="G605" s="9">
        <v>1049.49</v>
      </c>
      <c r="H605" s="7">
        <v>10</v>
      </c>
      <c r="I605" s="10">
        <f t="shared" si="18"/>
        <v>0.27928309117036565</v>
      </c>
      <c r="J605" s="7" t="str">
        <f t="shared" si="19"/>
        <v>Medium</v>
      </c>
    </row>
    <row r="606" spans="1:10" x14ac:dyDescent="0.3">
      <c r="A606" s="7" t="s">
        <v>870</v>
      </c>
      <c r="B606" s="8" t="s">
        <v>871</v>
      </c>
      <c r="C606" s="7" t="s">
        <v>22</v>
      </c>
      <c r="D606" s="7" t="s">
        <v>41</v>
      </c>
      <c r="E606" s="7" t="s">
        <v>28</v>
      </c>
      <c r="F606" s="9">
        <v>549.5</v>
      </c>
      <c r="G606" s="9">
        <v>229.21</v>
      </c>
      <c r="H606" s="7">
        <v>2</v>
      </c>
      <c r="I606" s="10">
        <f t="shared" si="18"/>
        <v>0.41712465878070976</v>
      </c>
      <c r="J606" s="7" t="str">
        <f t="shared" si="19"/>
        <v>Low</v>
      </c>
    </row>
    <row r="607" spans="1:10" x14ac:dyDescent="0.3">
      <c r="A607" s="7" t="s">
        <v>872</v>
      </c>
      <c r="B607" s="8" t="s">
        <v>871</v>
      </c>
      <c r="C607" s="7" t="s">
        <v>32</v>
      </c>
      <c r="D607" s="7" t="s">
        <v>38</v>
      </c>
      <c r="E607" s="7" t="s">
        <v>18</v>
      </c>
      <c r="F607" s="9">
        <v>1188.1199999999999</v>
      </c>
      <c r="G607" s="9">
        <v>374.76</v>
      </c>
      <c r="H607" s="7">
        <v>3</v>
      </c>
      <c r="I607" s="10">
        <f t="shared" si="18"/>
        <v>0.31542268457731543</v>
      </c>
      <c r="J607" s="7" t="str">
        <f t="shared" si="19"/>
        <v>Low</v>
      </c>
    </row>
    <row r="608" spans="1:10" x14ac:dyDescent="0.3">
      <c r="A608" s="7" t="s">
        <v>873</v>
      </c>
      <c r="B608" s="8" t="s">
        <v>874</v>
      </c>
      <c r="C608" s="7" t="s">
        <v>20</v>
      </c>
      <c r="D608" s="7" t="s">
        <v>85</v>
      </c>
      <c r="E608" s="7" t="s">
        <v>24</v>
      </c>
      <c r="F608" s="9">
        <v>1117.56</v>
      </c>
      <c r="G608" s="9">
        <v>531.54999999999995</v>
      </c>
      <c r="H608" s="7">
        <v>3</v>
      </c>
      <c r="I608" s="10">
        <f t="shared" si="18"/>
        <v>0.47563441783886323</v>
      </c>
      <c r="J608" s="7" t="str">
        <f t="shared" si="19"/>
        <v>Low</v>
      </c>
    </row>
    <row r="609" spans="1:10" x14ac:dyDescent="0.3">
      <c r="A609" s="7" t="s">
        <v>875</v>
      </c>
      <c r="B609" s="8" t="s">
        <v>874</v>
      </c>
      <c r="C609" s="7" t="s">
        <v>12</v>
      </c>
      <c r="D609" s="7" t="s">
        <v>41</v>
      </c>
      <c r="E609" s="7" t="s">
        <v>28</v>
      </c>
      <c r="F609" s="9">
        <v>285.2</v>
      </c>
      <c r="G609" s="9">
        <v>125.07</v>
      </c>
      <c r="H609" s="7">
        <v>1</v>
      </c>
      <c r="I609" s="10">
        <f t="shared" si="18"/>
        <v>0.43853436185133238</v>
      </c>
      <c r="J609" s="7" t="str">
        <f t="shared" si="19"/>
        <v>Low</v>
      </c>
    </row>
    <row r="610" spans="1:10" x14ac:dyDescent="0.3">
      <c r="A610" s="7" t="s">
        <v>876</v>
      </c>
      <c r="B610" s="8" t="s">
        <v>874</v>
      </c>
      <c r="C610" s="7" t="s">
        <v>20</v>
      </c>
      <c r="D610" s="7" t="s">
        <v>41</v>
      </c>
      <c r="E610" s="7" t="s">
        <v>28</v>
      </c>
      <c r="F610" s="9">
        <v>268.88</v>
      </c>
      <c r="G610" s="9">
        <v>113.97</v>
      </c>
      <c r="H610" s="7">
        <v>1</v>
      </c>
      <c r="I610" s="10">
        <f t="shared" si="18"/>
        <v>0.42386938411187147</v>
      </c>
      <c r="J610" s="7" t="str">
        <f t="shared" si="19"/>
        <v>Low</v>
      </c>
    </row>
    <row r="611" spans="1:10" x14ac:dyDescent="0.3">
      <c r="A611" s="7" t="s">
        <v>877</v>
      </c>
      <c r="B611" s="8" t="s">
        <v>878</v>
      </c>
      <c r="C611" s="7" t="s">
        <v>20</v>
      </c>
      <c r="D611" s="7" t="s">
        <v>85</v>
      </c>
      <c r="E611" s="7" t="s">
        <v>24</v>
      </c>
      <c r="F611" s="9">
        <v>3771.8</v>
      </c>
      <c r="G611" s="9">
        <v>1678.95</v>
      </c>
      <c r="H611" s="7">
        <v>10</v>
      </c>
      <c r="I611" s="10">
        <f t="shared" si="18"/>
        <v>0.44513229757675382</v>
      </c>
      <c r="J611" s="7" t="str">
        <f t="shared" si="19"/>
        <v>Medium</v>
      </c>
    </row>
    <row r="612" spans="1:10" x14ac:dyDescent="0.3">
      <c r="A612" s="7" t="s">
        <v>879</v>
      </c>
      <c r="B612" s="8" t="s">
        <v>878</v>
      </c>
      <c r="C612" s="7" t="s">
        <v>20</v>
      </c>
      <c r="D612" s="7" t="s">
        <v>43</v>
      </c>
      <c r="E612" s="7" t="s">
        <v>24</v>
      </c>
      <c r="F612" s="9">
        <v>205.62</v>
      </c>
      <c r="G612" s="9">
        <v>50.73</v>
      </c>
      <c r="H612" s="7">
        <v>2</v>
      </c>
      <c r="I612" s="10">
        <f t="shared" si="18"/>
        <v>0.24671724540414355</v>
      </c>
      <c r="J612" s="7" t="str">
        <f t="shared" si="19"/>
        <v>Low</v>
      </c>
    </row>
    <row r="613" spans="1:10" x14ac:dyDescent="0.3">
      <c r="A613" s="7" t="s">
        <v>880</v>
      </c>
      <c r="B613" s="8" t="s">
        <v>881</v>
      </c>
      <c r="C613" s="7" t="s">
        <v>20</v>
      </c>
      <c r="D613" s="7" t="s">
        <v>23</v>
      </c>
      <c r="E613" s="7" t="s">
        <v>24</v>
      </c>
      <c r="F613" s="9">
        <v>107.72</v>
      </c>
      <c r="G613" s="9">
        <v>31.97</v>
      </c>
      <c r="H613" s="7">
        <v>1</v>
      </c>
      <c r="I613" s="10">
        <f t="shared" si="18"/>
        <v>0.29678796880802077</v>
      </c>
      <c r="J613" s="7" t="str">
        <f t="shared" si="19"/>
        <v>Low</v>
      </c>
    </row>
    <row r="614" spans="1:10" x14ac:dyDescent="0.3">
      <c r="A614" s="7" t="s">
        <v>882</v>
      </c>
      <c r="B614" s="8" t="s">
        <v>881</v>
      </c>
      <c r="C614" s="7" t="s">
        <v>22</v>
      </c>
      <c r="D614" s="7" t="s">
        <v>23</v>
      </c>
      <c r="E614" s="7" t="s">
        <v>24</v>
      </c>
      <c r="F614" s="9">
        <v>201.28</v>
      </c>
      <c r="G614" s="9">
        <v>60.61</v>
      </c>
      <c r="H614" s="7">
        <v>2</v>
      </c>
      <c r="I614" s="10">
        <f t="shared" si="18"/>
        <v>0.30112281399046104</v>
      </c>
      <c r="J614" s="7" t="str">
        <f t="shared" si="19"/>
        <v>Low</v>
      </c>
    </row>
    <row r="615" spans="1:10" x14ac:dyDescent="0.3">
      <c r="A615" s="7" t="s">
        <v>883</v>
      </c>
      <c r="B615" s="8" t="s">
        <v>884</v>
      </c>
      <c r="C615" s="7" t="s">
        <v>22</v>
      </c>
      <c r="D615" s="7" t="s">
        <v>70</v>
      </c>
      <c r="E615" s="7" t="s">
        <v>14</v>
      </c>
      <c r="F615" s="9">
        <v>736.36</v>
      </c>
      <c r="G615" s="9">
        <v>175.89</v>
      </c>
      <c r="H615" s="7">
        <v>2</v>
      </c>
      <c r="I615" s="10">
        <f t="shared" si="18"/>
        <v>0.23886414253897548</v>
      </c>
      <c r="J615" s="7" t="str">
        <f t="shared" si="19"/>
        <v>Low</v>
      </c>
    </row>
    <row r="616" spans="1:10" x14ac:dyDescent="0.3">
      <c r="A616" s="7" t="s">
        <v>885</v>
      </c>
      <c r="B616" s="8" t="s">
        <v>886</v>
      </c>
      <c r="C616" s="7" t="s">
        <v>12</v>
      </c>
      <c r="D616" s="7" t="s">
        <v>57</v>
      </c>
      <c r="E616" s="7" t="s">
        <v>18</v>
      </c>
      <c r="F616" s="9">
        <v>848.1</v>
      </c>
      <c r="G616" s="9">
        <v>220.72</v>
      </c>
      <c r="H616" s="7">
        <v>5</v>
      </c>
      <c r="I616" s="10">
        <f t="shared" si="18"/>
        <v>0.26025232873481902</v>
      </c>
      <c r="J616" s="7" t="str">
        <f t="shared" si="19"/>
        <v>Low</v>
      </c>
    </row>
    <row r="617" spans="1:10" x14ac:dyDescent="0.3">
      <c r="A617" s="7" t="s">
        <v>887</v>
      </c>
      <c r="B617" s="8" t="s">
        <v>886</v>
      </c>
      <c r="C617" s="7" t="s">
        <v>20</v>
      </c>
      <c r="D617" s="7" t="s">
        <v>60</v>
      </c>
      <c r="E617" s="7" t="s">
        <v>28</v>
      </c>
      <c r="F617" s="9">
        <v>1514.88</v>
      </c>
      <c r="G617" s="9">
        <v>605.28</v>
      </c>
      <c r="H617" s="7">
        <v>4</v>
      </c>
      <c r="I617" s="10">
        <f t="shared" si="18"/>
        <v>0.39955640050697078</v>
      </c>
      <c r="J617" s="7" t="str">
        <f t="shared" si="19"/>
        <v>Medium</v>
      </c>
    </row>
    <row r="618" spans="1:10" x14ac:dyDescent="0.3">
      <c r="A618" s="7" t="s">
        <v>888</v>
      </c>
      <c r="B618" s="8" t="s">
        <v>889</v>
      </c>
      <c r="C618" s="7" t="s">
        <v>12</v>
      </c>
      <c r="D618" s="7" t="s">
        <v>41</v>
      </c>
      <c r="E618" s="7" t="s">
        <v>28</v>
      </c>
      <c r="F618" s="9">
        <v>594.96</v>
      </c>
      <c r="G618" s="9">
        <v>263.20999999999998</v>
      </c>
      <c r="H618" s="7">
        <v>2</v>
      </c>
      <c r="I618" s="10">
        <f t="shared" si="18"/>
        <v>0.44239948904128001</v>
      </c>
      <c r="J618" s="7" t="str">
        <f t="shared" si="19"/>
        <v>Low</v>
      </c>
    </row>
    <row r="619" spans="1:10" x14ac:dyDescent="0.3">
      <c r="A619" s="7" t="s">
        <v>890</v>
      </c>
      <c r="B619" s="8" t="s">
        <v>889</v>
      </c>
      <c r="C619" s="7" t="s">
        <v>20</v>
      </c>
      <c r="D619" s="7" t="s">
        <v>112</v>
      </c>
      <c r="E619" s="7" t="s">
        <v>14</v>
      </c>
      <c r="F619" s="9">
        <v>4330.2</v>
      </c>
      <c r="G619" s="9">
        <v>1541.27</v>
      </c>
      <c r="H619" s="7">
        <v>10</v>
      </c>
      <c r="I619" s="10">
        <f t="shared" si="18"/>
        <v>0.35593506073622466</v>
      </c>
      <c r="J619" s="7" t="str">
        <f t="shared" si="19"/>
        <v>Medium</v>
      </c>
    </row>
    <row r="620" spans="1:10" x14ac:dyDescent="0.3">
      <c r="A620" s="7" t="s">
        <v>891</v>
      </c>
      <c r="B620" s="8" t="s">
        <v>892</v>
      </c>
      <c r="C620" s="7" t="s">
        <v>32</v>
      </c>
      <c r="D620" s="7" t="s">
        <v>41</v>
      </c>
      <c r="E620" s="7" t="s">
        <v>28</v>
      </c>
      <c r="F620" s="9">
        <v>2278.96</v>
      </c>
      <c r="G620" s="9">
        <v>954.34</v>
      </c>
      <c r="H620" s="7">
        <v>8</v>
      </c>
      <c r="I620" s="10">
        <f t="shared" si="18"/>
        <v>0.41876118931442413</v>
      </c>
      <c r="J620" s="7" t="str">
        <f t="shared" si="19"/>
        <v>Medium</v>
      </c>
    </row>
    <row r="621" spans="1:10" x14ac:dyDescent="0.3">
      <c r="A621" s="7" t="s">
        <v>893</v>
      </c>
      <c r="B621" s="8" t="s">
        <v>892</v>
      </c>
      <c r="C621" s="7" t="s">
        <v>20</v>
      </c>
      <c r="D621" s="7" t="s">
        <v>70</v>
      </c>
      <c r="E621" s="7" t="s">
        <v>14</v>
      </c>
      <c r="F621" s="9">
        <v>2204.58</v>
      </c>
      <c r="G621" s="9">
        <v>520.57000000000005</v>
      </c>
      <c r="H621" s="7">
        <v>6</v>
      </c>
      <c r="I621" s="10">
        <f t="shared" si="18"/>
        <v>0.23613114516143668</v>
      </c>
      <c r="J621" s="7" t="str">
        <f t="shared" si="19"/>
        <v>Medium</v>
      </c>
    </row>
    <row r="622" spans="1:10" x14ac:dyDescent="0.3">
      <c r="A622" s="7" t="s">
        <v>894</v>
      </c>
      <c r="B622" s="8" t="s">
        <v>895</v>
      </c>
      <c r="C622" s="7" t="s">
        <v>12</v>
      </c>
      <c r="D622" s="7" t="s">
        <v>27</v>
      </c>
      <c r="E622" s="7" t="s">
        <v>28</v>
      </c>
      <c r="F622" s="9">
        <v>309.54000000000002</v>
      </c>
      <c r="G622" s="9">
        <v>61.19</v>
      </c>
      <c r="H622" s="7">
        <v>1</v>
      </c>
      <c r="I622" s="10">
        <f t="shared" si="18"/>
        <v>0.19768042902371258</v>
      </c>
      <c r="J622" s="7" t="str">
        <f t="shared" si="19"/>
        <v>Low</v>
      </c>
    </row>
    <row r="623" spans="1:10" x14ac:dyDescent="0.3">
      <c r="A623" s="7" t="s">
        <v>896</v>
      </c>
      <c r="B623" s="8" t="s">
        <v>897</v>
      </c>
      <c r="C623" s="7" t="s">
        <v>12</v>
      </c>
      <c r="D623" s="7" t="s">
        <v>50</v>
      </c>
      <c r="E623" s="7" t="s">
        <v>14</v>
      </c>
      <c r="F623" s="9">
        <v>195.48</v>
      </c>
      <c r="G623" s="9">
        <v>78.650000000000006</v>
      </c>
      <c r="H623" s="7">
        <v>4</v>
      </c>
      <c r="I623" s="10">
        <f t="shared" si="18"/>
        <v>0.4023429506854922</v>
      </c>
      <c r="J623" s="7" t="str">
        <f t="shared" si="19"/>
        <v>Low</v>
      </c>
    </row>
    <row r="624" spans="1:10" x14ac:dyDescent="0.3">
      <c r="A624" s="7" t="s">
        <v>898</v>
      </c>
      <c r="B624" s="8" t="s">
        <v>897</v>
      </c>
      <c r="C624" s="7" t="s">
        <v>20</v>
      </c>
      <c r="D624" s="7" t="s">
        <v>85</v>
      </c>
      <c r="E624" s="7" t="s">
        <v>24</v>
      </c>
      <c r="F624" s="9">
        <v>694.02</v>
      </c>
      <c r="G624" s="9">
        <v>271.77999999999997</v>
      </c>
      <c r="H624" s="7">
        <v>2</v>
      </c>
      <c r="I624" s="10">
        <f t="shared" si="18"/>
        <v>0.39160254747701795</v>
      </c>
      <c r="J624" s="7" t="str">
        <f t="shared" si="19"/>
        <v>Low</v>
      </c>
    </row>
    <row r="625" spans="1:10" x14ac:dyDescent="0.3">
      <c r="A625" s="7" t="s">
        <v>899</v>
      </c>
      <c r="B625" s="8" t="s">
        <v>897</v>
      </c>
      <c r="C625" s="7" t="s">
        <v>12</v>
      </c>
      <c r="D625" s="7" t="s">
        <v>74</v>
      </c>
      <c r="E625" s="7" t="s">
        <v>18</v>
      </c>
      <c r="F625" s="9">
        <v>476.1</v>
      </c>
      <c r="G625" s="9">
        <v>63.45</v>
      </c>
      <c r="H625" s="7">
        <v>2</v>
      </c>
      <c r="I625" s="10">
        <f t="shared" si="18"/>
        <v>0.1332703213610586</v>
      </c>
      <c r="J625" s="7" t="str">
        <f t="shared" si="19"/>
        <v>Low</v>
      </c>
    </row>
    <row r="626" spans="1:10" x14ac:dyDescent="0.3">
      <c r="A626" s="7" t="s">
        <v>900</v>
      </c>
      <c r="B626" s="8" t="s">
        <v>901</v>
      </c>
      <c r="C626" s="7" t="s">
        <v>12</v>
      </c>
      <c r="D626" s="7" t="s">
        <v>54</v>
      </c>
      <c r="E626" s="7" t="s">
        <v>28</v>
      </c>
      <c r="F626" s="9">
        <v>605.65</v>
      </c>
      <c r="G626" s="9">
        <v>192.03</v>
      </c>
      <c r="H626" s="7">
        <v>5</v>
      </c>
      <c r="I626" s="10">
        <f t="shared" si="18"/>
        <v>0.31706431107075045</v>
      </c>
      <c r="J626" s="7" t="str">
        <f t="shared" si="19"/>
        <v>Low</v>
      </c>
    </row>
    <row r="627" spans="1:10" x14ac:dyDescent="0.3">
      <c r="A627" s="7" t="s">
        <v>902</v>
      </c>
      <c r="B627" s="8" t="s">
        <v>901</v>
      </c>
      <c r="C627" s="7" t="s">
        <v>32</v>
      </c>
      <c r="D627" s="7" t="s">
        <v>63</v>
      </c>
      <c r="E627" s="7" t="s">
        <v>28</v>
      </c>
      <c r="F627" s="9">
        <v>202.13</v>
      </c>
      <c r="G627" s="9">
        <v>93.72</v>
      </c>
      <c r="H627" s="7">
        <v>1</v>
      </c>
      <c r="I627" s="10">
        <f t="shared" si="18"/>
        <v>0.46366199970316135</v>
      </c>
      <c r="J627" s="7" t="str">
        <f t="shared" si="19"/>
        <v>Low</v>
      </c>
    </row>
    <row r="628" spans="1:10" x14ac:dyDescent="0.3">
      <c r="A628" s="7" t="s">
        <v>903</v>
      </c>
      <c r="B628" s="8" t="s">
        <v>904</v>
      </c>
      <c r="C628" s="7" t="s">
        <v>32</v>
      </c>
      <c r="D628" s="7" t="s">
        <v>57</v>
      </c>
      <c r="E628" s="7" t="s">
        <v>18</v>
      </c>
      <c r="F628" s="9">
        <v>183.09</v>
      </c>
      <c r="G628" s="9">
        <v>56.86</v>
      </c>
      <c r="H628" s="7">
        <v>1</v>
      </c>
      <c r="I628" s="10">
        <f t="shared" si="18"/>
        <v>0.3105576492435414</v>
      </c>
      <c r="J628" s="7" t="str">
        <f t="shared" si="19"/>
        <v>Low</v>
      </c>
    </row>
    <row r="629" spans="1:10" x14ac:dyDescent="0.3">
      <c r="A629" s="7" t="s">
        <v>905</v>
      </c>
      <c r="B629" s="8" t="s">
        <v>904</v>
      </c>
      <c r="C629" s="7" t="s">
        <v>22</v>
      </c>
      <c r="D629" s="7" t="s">
        <v>112</v>
      </c>
      <c r="E629" s="7" t="s">
        <v>14</v>
      </c>
      <c r="F629" s="9">
        <v>406.68</v>
      </c>
      <c r="G629" s="9">
        <v>136.4</v>
      </c>
      <c r="H629" s="7">
        <v>1</v>
      </c>
      <c r="I629" s="10">
        <f t="shared" si="18"/>
        <v>0.33539883938231535</v>
      </c>
      <c r="J629" s="7" t="str">
        <f t="shared" si="19"/>
        <v>Low</v>
      </c>
    </row>
    <row r="630" spans="1:10" x14ac:dyDescent="0.3">
      <c r="A630" s="7" t="s">
        <v>906</v>
      </c>
      <c r="B630" s="8" t="s">
        <v>904</v>
      </c>
      <c r="C630" s="7" t="s">
        <v>20</v>
      </c>
      <c r="D630" s="7" t="s">
        <v>112</v>
      </c>
      <c r="E630" s="7" t="s">
        <v>14</v>
      </c>
      <c r="F630" s="9">
        <v>1331.64</v>
      </c>
      <c r="G630" s="9">
        <v>503.96</v>
      </c>
      <c r="H630" s="7">
        <v>3</v>
      </c>
      <c r="I630" s="10">
        <f t="shared" si="18"/>
        <v>0.37845063230302478</v>
      </c>
      <c r="J630" s="7" t="str">
        <f t="shared" si="19"/>
        <v>Low</v>
      </c>
    </row>
    <row r="631" spans="1:10" x14ac:dyDescent="0.3">
      <c r="A631" s="7" t="s">
        <v>907</v>
      </c>
      <c r="B631" s="8" t="s">
        <v>904</v>
      </c>
      <c r="C631" s="7" t="s">
        <v>20</v>
      </c>
      <c r="D631" s="7" t="s">
        <v>50</v>
      </c>
      <c r="E631" s="7" t="s">
        <v>14</v>
      </c>
      <c r="F631" s="9">
        <v>51.31</v>
      </c>
      <c r="G631" s="9">
        <v>21.67</v>
      </c>
      <c r="H631" s="7">
        <v>1</v>
      </c>
      <c r="I631" s="10">
        <f t="shared" si="18"/>
        <v>0.42233482751900214</v>
      </c>
      <c r="J631" s="7" t="str">
        <f t="shared" si="19"/>
        <v>Low</v>
      </c>
    </row>
    <row r="632" spans="1:10" x14ac:dyDescent="0.3">
      <c r="A632" s="7" t="s">
        <v>908</v>
      </c>
      <c r="B632" s="8" t="s">
        <v>904</v>
      </c>
      <c r="C632" s="7" t="s">
        <v>32</v>
      </c>
      <c r="D632" s="7" t="s">
        <v>13</v>
      </c>
      <c r="E632" s="7" t="s">
        <v>14</v>
      </c>
      <c r="F632" s="9">
        <v>2815.92</v>
      </c>
      <c r="G632" s="9">
        <v>682.3</v>
      </c>
      <c r="H632" s="7">
        <v>8</v>
      </c>
      <c r="I632" s="10">
        <f t="shared" si="18"/>
        <v>0.24230091763970565</v>
      </c>
      <c r="J632" s="7" t="str">
        <f t="shared" si="19"/>
        <v>Medium</v>
      </c>
    </row>
    <row r="633" spans="1:10" x14ac:dyDescent="0.3">
      <c r="A633" s="7" t="s">
        <v>909</v>
      </c>
      <c r="B633" s="8" t="s">
        <v>910</v>
      </c>
      <c r="C633" s="7" t="s">
        <v>22</v>
      </c>
      <c r="D633" s="7" t="s">
        <v>54</v>
      </c>
      <c r="E633" s="7" t="s">
        <v>28</v>
      </c>
      <c r="F633" s="9">
        <v>132.96</v>
      </c>
      <c r="G633" s="9">
        <v>49.93</v>
      </c>
      <c r="H633" s="7">
        <v>1</v>
      </c>
      <c r="I633" s="10">
        <f t="shared" si="18"/>
        <v>0.37552647412755713</v>
      </c>
      <c r="J633" s="7" t="str">
        <f t="shared" si="19"/>
        <v>Low</v>
      </c>
    </row>
    <row r="634" spans="1:10" x14ac:dyDescent="0.3">
      <c r="A634" s="7" t="s">
        <v>911</v>
      </c>
      <c r="B634" s="8" t="s">
        <v>910</v>
      </c>
      <c r="C634" s="7" t="s">
        <v>12</v>
      </c>
      <c r="D634" s="7" t="s">
        <v>41</v>
      </c>
      <c r="E634" s="7" t="s">
        <v>28</v>
      </c>
      <c r="F634" s="9">
        <v>1156.92</v>
      </c>
      <c r="G634" s="9">
        <v>538.28</v>
      </c>
      <c r="H634" s="7">
        <v>4</v>
      </c>
      <c r="I634" s="10">
        <f t="shared" si="18"/>
        <v>0.46526985444110219</v>
      </c>
      <c r="J634" s="7" t="str">
        <f t="shared" si="19"/>
        <v>Low</v>
      </c>
    </row>
    <row r="635" spans="1:10" x14ac:dyDescent="0.3">
      <c r="A635" s="7" t="s">
        <v>912</v>
      </c>
      <c r="B635" s="8" t="s">
        <v>913</v>
      </c>
      <c r="C635" s="7" t="s">
        <v>32</v>
      </c>
      <c r="D635" s="7" t="s">
        <v>23</v>
      </c>
      <c r="E635" s="7" t="s">
        <v>24</v>
      </c>
      <c r="F635" s="9">
        <v>306.54000000000002</v>
      </c>
      <c r="G635" s="9">
        <v>96.12</v>
      </c>
      <c r="H635" s="7">
        <v>3</v>
      </c>
      <c r="I635" s="10">
        <f t="shared" si="18"/>
        <v>0.31356429829712273</v>
      </c>
      <c r="J635" s="7" t="str">
        <f t="shared" si="19"/>
        <v>Low</v>
      </c>
    </row>
    <row r="636" spans="1:10" x14ac:dyDescent="0.3">
      <c r="A636" s="7" t="s">
        <v>914</v>
      </c>
      <c r="B636" s="8" t="s">
        <v>913</v>
      </c>
      <c r="C636" s="7" t="s">
        <v>22</v>
      </c>
      <c r="D636" s="7" t="s">
        <v>85</v>
      </c>
      <c r="E636" s="7" t="s">
        <v>24</v>
      </c>
      <c r="F636" s="9">
        <v>338.19</v>
      </c>
      <c r="G636" s="9">
        <v>127.77</v>
      </c>
      <c r="H636" s="7">
        <v>1</v>
      </c>
      <c r="I636" s="10">
        <f t="shared" si="18"/>
        <v>0.37780537567639494</v>
      </c>
      <c r="J636" s="7" t="str">
        <f t="shared" si="19"/>
        <v>Low</v>
      </c>
    </row>
    <row r="637" spans="1:10" x14ac:dyDescent="0.3">
      <c r="A637" s="7" t="s">
        <v>915</v>
      </c>
      <c r="B637" s="8" t="s">
        <v>916</v>
      </c>
      <c r="C637" s="7" t="s">
        <v>12</v>
      </c>
      <c r="D637" s="7" t="s">
        <v>89</v>
      </c>
      <c r="E637" s="7" t="s">
        <v>24</v>
      </c>
      <c r="F637" s="9">
        <v>1657.74</v>
      </c>
      <c r="G637" s="9">
        <v>440.15</v>
      </c>
      <c r="H637" s="7">
        <v>6</v>
      </c>
      <c r="I637" s="10">
        <f t="shared" si="18"/>
        <v>0.26551208271502164</v>
      </c>
      <c r="J637" s="7" t="str">
        <f t="shared" si="19"/>
        <v>Medium</v>
      </c>
    </row>
    <row r="638" spans="1:10" x14ac:dyDescent="0.3">
      <c r="A638" s="7" t="s">
        <v>917</v>
      </c>
      <c r="B638" s="8" t="s">
        <v>916</v>
      </c>
      <c r="C638" s="7" t="s">
        <v>32</v>
      </c>
      <c r="D638" s="7" t="s">
        <v>23</v>
      </c>
      <c r="E638" s="7" t="s">
        <v>24</v>
      </c>
      <c r="F638" s="9">
        <v>103.18</v>
      </c>
      <c r="G638" s="9">
        <v>27.66</v>
      </c>
      <c r="H638" s="7">
        <v>1</v>
      </c>
      <c r="I638" s="10">
        <f t="shared" si="18"/>
        <v>0.26807520837371585</v>
      </c>
      <c r="J638" s="7" t="str">
        <f t="shared" si="19"/>
        <v>Low</v>
      </c>
    </row>
    <row r="639" spans="1:10" x14ac:dyDescent="0.3">
      <c r="A639" s="7" t="s">
        <v>918</v>
      </c>
      <c r="B639" s="8" t="s">
        <v>916</v>
      </c>
      <c r="C639" s="7" t="s">
        <v>32</v>
      </c>
      <c r="D639" s="7" t="s">
        <v>74</v>
      </c>
      <c r="E639" s="7" t="s">
        <v>18</v>
      </c>
      <c r="F639" s="9">
        <v>494.72</v>
      </c>
      <c r="G639" s="9">
        <v>102.3</v>
      </c>
      <c r="H639" s="7">
        <v>2</v>
      </c>
      <c r="I639" s="10">
        <f t="shared" si="18"/>
        <v>0.20678363518758083</v>
      </c>
      <c r="J639" s="7" t="str">
        <f t="shared" si="19"/>
        <v>Low</v>
      </c>
    </row>
    <row r="640" spans="1:10" x14ac:dyDescent="0.3">
      <c r="A640" s="7" t="s">
        <v>919</v>
      </c>
      <c r="B640" s="8" t="s">
        <v>920</v>
      </c>
      <c r="C640" s="7" t="s">
        <v>12</v>
      </c>
      <c r="D640" s="7" t="s">
        <v>50</v>
      </c>
      <c r="E640" s="7" t="s">
        <v>14</v>
      </c>
      <c r="F640" s="9">
        <v>46.44</v>
      </c>
      <c r="G640" s="9">
        <v>18.96</v>
      </c>
      <c r="H640" s="7">
        <v>1</v>
      </c>
      <c r="I640" s="10">
        <f t="shared" si="18"/>
        <v>0.40826873385012924</v>
      </c>
      <c r="J640" s="7" t="str">
        <f t="shared" si="19"/>
        <v>Low</v>
      </c>
    </row>
    <row r="641" spans="1:10" x14ac:dyDescent="0.3">
      <c r="A641" s="7" t="s">
        <v>921</v>
      </c>
      <c r="B641" s="8" t="s">
        <v>920</v>
      </c>
      <c r="C641" s="7" t="s">
        <v>20</v>
      </c>
      <c r="D641" s="7" t="s">
        <v>63</v>
      </c>
      <c r="E641" s="7" t="s">
        <v>28</v>
      </c>
      <c r="F641" s="9">
        <v>195.17</v>
      </c>
      <c r="G641" s="9">
        <v>87.38</v>
      </c>
      <c r="H641" s="7">
        <v>1</v>
      </c>
      <c r="I641" s="10">
        <f t="shared" si="18"/>
        <v>0.44771225085822619</v>
      </c>
      <c r="J641" s="7" t="str">
        <f t="shared" si="19"/>
        <v>Low</v>
      </c>
    </row>
    <row r="642" spans="1:10" x14ac:dyDescent="0.3">
      <c r="A642" s="7" t="s">
        <v>922</v>
      </c>
      <c r="B642" s="8" t="s">
        <v>920</v>
      </c>
      <c r="C642" s="7" t="s">
        <v>32</v>
      </c>
      <c r="D642" s="7" t="s">
        <v>27</v>
      </c>
      <c r="E642" s="7" t="s">
        <v>28</v>
      </c>
      <c r="F642" s="9">
        <v>325.64</v>
      </c>
      <c r="G642" s="9">
        <v>76.27</v>
      </c>
      <c r="H642" s="7">
        <v>1</v>
      </c>
      <c r="I642" s="10">
        <f t="shared" ref="I642:I705" si="20">IFERROR(G642/F642,0)</f>
        <v>0.23421569831716005</v>
      </c>
      <c r="J642" s="7" t="str">
        <f t="shared" ref="J642:J705" si="21">IF(F642&gt;5000,"High",IF(F642&gt;1500,"Medium","Low"))</f>
        <v>Low</v>
      </c>
    </row>
    <row r="643" spans="1:10" x14ac:dyDescent="0.3">
      <c r="A643" s="7" t="s">
        <v>923</v>
      </c>
      <c r="B643" s="8" t="s">
        <v>920</v>
      </c>
      <c r="C643" s="7" t="s">
        <v>12</v>
      </c>
      <c r="D643" s="7" t="s">
        <v>89</v>
      </c>
      <c r="E643" s="7" t="s">
        <v>24</v>
      </c>
      <c r="F643" s="9">
        <v>306.01</v>
      </c>
      <c r="G643" s="9">
        <v>100.45</v>
      </c>
      <c r="H643" s="7">
        <v>1</v>
      </c>
      <c r="I643" s="10">
        <f t="shared" si="20"/>
        <v>0.3282572464952126</v>
      </c>
      <c r="J643" s="7" t="str">
        <f t="shared" si="21"/>
        <v>Low</v>
      </c>
    </row>
    <row r="644" spans="1:10" x14ac:dyDescent="0.3">
      <c r="A644" s="7" t="s">
        <v>924</v>
      </c>
      <c r="B644" s="8" t="s">
        <v>925</v>
      </c>
      <c r="C644" s="7" t="s">
        <v>32</v>
      </c>
      <c r="D644" s="7" t="s">
        <v>43</v>
      </c>
      <c r="E644" s="7" t="s">
        <v>24</v>
      </c>
      <c r="F644" s="9">
        <v>196.14</v>
      </c>
      <c r="G644" s="9">
        <v>36.92</v>
      </c>
      <c r="H644" s="7">
        <v>2</v>
      </c>
      <c r="I644" s="10">
        <f t="shared" si="20"/>
        <v>0.18823289487101053</v>
      </c>
      <c r="J644" s="7" t="str">
        <f t="shared" si="21"/>
        <v>Low</v>
      </c>
    </row>
    <row r="645" spans="1:10" x14ac:dyDescent="0.3">
      <c r="A645" s="7" t="s">
        <v>926</v>
      </c>
      <c r="B645" s="8" t="s">
        <v>927</v>
      </c>
      <c r="C645" s="7" t="s">
        <v>32</v>
      </c>
      <c r="D645" s="7" t="s">
        <v>27</v>
      </c>
      <c r="E645" s="7" t="s">
        <v>28</v>
      </c>
      <c r="F645" s="9">
        <v>699.12</v>
      </c>
      <c r="G645" s="9">
        <v>177.08</v>
      </c>
      <c r="H645" s="7">
        <v>2</v>
      </c>
      <c r="I645" s="10">
        <f t="shared" si="20"/>
        <v>0.25328985009726512</v>
      </c>
      <c r="J645" s="7" t="str">
        <f t="shared" si="21"/>
        <v>Low</v>
      </c>
    </row>
    <row r="646" spans="1:10" x14ac:dyDescent="0.3">
      <c r="A646" s="7" t="s">
        <v>928</v>
      </c>
      <c r="B646" s="8" t="s">
        <v>927</v>
      </c>
      <c r="C646" s="7" t="s">
        <v>20</v>
      </c>
      <c r="D646" s="7" t="s">
        <v>254</v>
      </c>
      <c r="E646" s="7" t="s">
        <v>24</v>
      </c>
      <c r="F646" s="9">
        <v>19.98</v>
      </c>
      <c r="G646" s="9">
        <v>7.73</v>
      </c>
      <c r="H646" s="7">
        <v>1</v>
      </c>
      <c r="I646" s="10">
        <f t="shared" si="20"/>
        <v>0.38688688688688688</v>
      </c>
      <c r="J646" s="7" t="str">
        <f t="shared" si="21"/>
        <v>Low</v>
      </c>
    </row>
    <row r="647" spans="1:10" x14ac:dyDescent="0.3">
      <c r="A647" s="7" t="s">
        <v>929</v>
      </c>
      <c r="B647" s="8" t="s">
        <v>927</v>
      </c>
      <c r="C647" s="7" t="s">
        <v>32</v>
      </c>
      <c r="D647" s="7" t="s">
        <v>41</v>
      </c>
      <c r="E647" s="7" t="s">
        <v>28</v>
      </c>
      <c r="F647" s="9">
        <v>587.5</v>
      </c>
      <c r="G647" s="9">
        <v>265.7</v>
      </c>
      <c r="H647" s="7">
        <v>2</v>
      </c>
      <c r="I647" s="10">
        <f t="shared" si="20"/>
        <v>0.45225531914893613</v>
      </c>
      <c r="J647" s="7" t="str">
        <f t="shared" si="21"/>
        <v>Low</v>
      </c>
    </row>
    <row r="648" spans="1:10" x14ac:dyDescent="0.3">
      <c r="A648" s="7" t="s">
        <v>930</v>
      </c>
      <c r="B648" s="8" t="s">
        <v>931</v>
      </c>
      <c r="C648" s="7" t="s">
        <v>22</v>
      </c>
      <c r="D648" s="7" t="s">
        <v>13</v>
      </c>
      <c r="E648" s="7" t="s">
        <v>14</v>
      </c>
      <c r="F648" s="9">
        <v>1492.88</v>
      </c>
      <c r="G648" s="9">
        <v>418.3</v>
      </c>
      <c r="H648" s="7">
        <v>4</v>
      </c>
      <c r="I648" s="10">
        <f t="shared" si="20"/>
        <v>0.28019666684529232</v>
      </c>
      <c r="J648" s="7" t="str">
        <f t="shared" si="21"/>
        <v>Low</v>
      </c>
    </row>
    <row r="649" spans="1:10" x14ac:dyDescent="0.3">
      <c r="A649" s="7" t="s">
        <v>932</v>
      </c>
      <c r="B649" s="8" t="s">
        <v>931</v>
      </c>
      <c r="C649" s="7" t="s">
        <v>12</v>
      </c>
      <c r="D649" s="7" t="s">
        <v>79</v>
      </c>
      <c r="E649" s="7" t="s">
        <v>14</v>
      </c>
      <c r="F649" s="9">
        <v>1258.56</v>
      </c>
      <c r="G649" s="9">
        <v>497.77</v>
      </c>
      <c r="H649" s="7">
        <v>8</v>
      </c>
      <c r="I649" s="10">
        <f t="shared" si="20"/>
        <v>0.39550756420035599</v>
      </c>
      <c r="J649" s="7" t="str">
        <f t="shared" si="21"/>
        <v>Low</v>
      </c>
    </row>
    <row r="650" spans="1:10" x14ac:dyDescent="0.3">
      <c r="A650" s="7" t="s">
        <v>933</v>
      </c>
      <c r="B650" s="8" t="s">
        <v>931</v>
      </c>
      <c r="C650" s="7" t="s">
        <v>32</v>
      </c>
      <c r="D650" s="7" t="s">
        <v>23</v>
      </c>
      <c r="E650" s="7" t="s">
        <v>24</v>
      </c>
      <c r="F650" s="9">
        <v>851.68</v>
      </c>
      <c r="G650" s="9">
        <v>272.56</v>
      </c>
      <c r="H650" s="7">
        <v>8</v>
      </c>
      <c r="I650" s="10">
        <f t="shared" si="20"/>
        <v>0.32002630095810636</v>
      </c>
      <c r="J650" s="7" t="str">
        <f t="shared" si="21"/>
        <v>Low</v>
      </c>
    </row>
    <row r="651" spans="1:10" x14ac:dyDescent="0.3">
      <c r="A651" s="7" t="s">
        <v>934</v>
      </c>
      <c r="B651" s="8" t="s">
        <v>935</v>
      </c>
      <c r="C651" s="7" t="s">
        <v>12</v>
      </c>
      <c r="D651" s="7" t="s">
        <v>27</v>
      </c>
      <c r="E651" s="7" t="s">
        <v>28</v>
      </c>
      <c r="F651" s="9">
        <v>336.07</v>
      </c>
      <c r="G651" s="9">
        <v>75.87</v>
      </c>
      <c r="H651" s="7">
        <v>1</v>
      </c>
      <c r="I651" s="10">
        <f t="shared" si="20"/>
        <v>0.22575653881631805</v>
      </c>
      <c r="J651" s="7" t="str">
        <f t="shared" si="21"/>
        <v>Low</v>
      </c>
    </row>
    <row r="652" spans="1:10" x14ac:dyDescent="0.3">
      <c r="A652" s="7" t="s">
        <v>936</v>
      </c>
      <c r="B652" s="8" t="s">
        <v>935</v>
      </c>
      <c r="C652" s="7" t="s">
        <v>12</v>
      </c>
      <c r="D652" s="7" t="s">
        <v>17</v>
      </c>
      <c r="E652" s="7" t="s">
        <v>18</v>
      </c>
      <c r="F652" s="9">
        <v>1506.92</v>
      </c>
      <c r="G652" s="9">
        <v>419.12</v>
      </c>
      <c r="H652" s="7">
        <v>4</v>
      </c>
      <c r="I652" s="10">
        <f t="shared" si="20"/>
        <v>0.27813022589122183</v>
      </c>
      <c r="J652" s="7" t="str">
        <f t="shared" si="21"/>
        <v>Medium</v>
      </c>
    </row>
    <row r="653" spans="1:10" x14ac:dyDescent="0.3">
      <c r="A653" s="7" t="s">
        <v>937</v>
      </c>
      <c r="B653" s="8" t="s">
        <v>938</v>
      </c>
      <c r="C653" s="7" t="s">
        <v>32</v>
      </c>
      <c r="D653" s="7" t="s">
        <v>23</v>
      </c>
      <c r="E653" s="7" t="s">
        <v>24</v>
      </c>
      <c r="F653" s="9">
        <v>207.7</v>
      </c>
      <c r="G653" s="9">
        <v>54.28</v>
      </c>
      <c r="H653" s="7">
        <v>2</v>
      </c>
      <c r="I653" s="10">
        <f t="shared" si="20"/>
        <v>0.26133846894559465</v>
      </c>
      <c r="J653" s="7" t="str">
        <f t="shared" si="21"/>
        <v>Low</v>
      </c>
    </row>
    <row r="654" spans="1:10" x14ac:dyDescent="0.3">
      <c r="A654" s="7" t="s">
        <v>939</v>
      </c>
      <c r="B654" s="8" t="s">
        <v>938</v>
      </c>
      <c r="C654" s="7" t="s">
        <v>12</v>
      </c>
      <c r="D654" s="7" t="s">
        <v>85</v>
      </c>
      <c r="E654" s="7" t="s">
        <v>24</v>
      </c>
      <c r="F654" s="9">
        <v>1825.3</v>
      </c>
      <c r="G654" s="9">
        <v>854.12</v>
      </c>
      <c r="H654" s="7">
        <v>5</v>
      </c>
      <c r="I654" s="10">
        <f t="shared" si="20"/>
        <v>0.46793403824028929</v>
      </c>
      <c r="J654" s="7" t="str">
        <f t="shared" si="21"/>
        <v>Medium</v>
      </c>
    </row>
    <row r="655" spans="1:10" x14ac:dyDescent="0.3">
      <c r="A655" s="7" t="s">
        <v>940</v>
      </c>
      <c r="B655" s="8" t="s">
        <v>941</v>
      </c>
      <c r="C655" s="7" t="s">
        <v>12</v>
      </c>
      <c r="D655" s="7" t="s">
        <v>79</v>
      </c>
      <c r="E655" s="7" t="s">
        <v>14</v>
      </c>
      <c r="F655" s="9">
        <v>771.2</v>
      </c>
      <c r="G655" s="9">
        <v>286.57</v>
      </c>
      <c r="H655" s="7">
        <v>5</v>
      </c>
      <c r="I655" s="10">
        <f t="shared" si="20"/>
        <v>0.37158973029045639</v>
      </c>
      <c r="J655" s="7" t="str">
        <f t="shared" si="21"/>
        <v>Low</v>
      </c>
    </row>
    <row r="656" spans="1:10" x14ac:dyDescent="0.3">
      <c r="A656" s="7" t="s">
        <v>942</v>
      </c>
      <c r="B656" s="8" t="s">
        <v>941</v>
      </c>
      <c r="C656" s="7" t="s">
        <v>20</v>
      </c>
      <c r="D656" s="7" t="s">
        <v>38</v>
      </c>
      <c r="E656" s="7" t="s">
        <v>18</v>
      </c>
      <c r="F656" s="9">
        <v>1154.28</v>
      </c>
      <c r="G656" s="9">
        <v>332.11</v>
      </c>
      <c r="H656" s="7">
        <v>3</v>
      </c>
      <c r="I656" s="10">
        <f t="shared" si="20"/>
        <v>0.28772048376477111</v>
      </c>
      <c r="J656" s="7" t="str">
        <f t="shared" si="21"/>
        <v>Low</v>
      </c>
    </row>
    <row r="657" spans="1:10" x14ac:dyDescent="0.3">
      <c r="A657" s="7" t="s">
        <v>943</v>
      </c>
      <c r="B657" s="8" t="s">
        <v>941</v>
      </c>
      <c r="C657" s="7" t="s">
        <v>32</v>
      </c>
      <c r="D657" s="7" t="s">
        <v>112</v>
      </c>
      <c r="E657" s="7" t="s">
        <v>14</v>
      </c>
      <c r="F657" s="9">
        <v>434.89</v>
      </c>
      <c r="G657" s="9">
        <v>146.80000000000001</v>
      </c>
      <c r="H657" s="7">
        <v>1</v>
      </c>
      <c r="I657" s="10">
        <f t="shared" si="20"/>
        <v>0.33755662351399207</v>
      </c>
      <c r="J657" s="7" t="str">
        <f t="shared" si="21"/>
        <v>Low</v>
      </c>
    </row>
    <row r="658" spans="1:10" x14ac:dyDescent="0.3">
      <c r="A658" s="7" t="s">
        <v>944</v>
      </c>
      <c r="B658" s="8" t="s">
        <v>941</v>
      </c>
      <c r="C658" s="7" t="s">
        <v>32</v>
      </c>
      <c r="D658" s="7" t="s">
        <v>27</v>
      </c>
      <c r="E658" s="7" t="s">
        <v>28</v>
      </c>
      <c r="F658" s="9">
        <v>2716.88</v>
      </c>
      <c r="G658" s="9">
        <v>714.62</v>
      </c>
      <c r="H658" s="7">
        <v>8</v>
      </c>
      <c r="I658" s="10">
        <f t="shared" si="20"/>
        <v>0.26302965165925618</v>
      </c>
      <c r="J658" s="7" t="str">
        <f t="shared" si="21"/>
        <v>Medium</v>
      </c>
    </row>
    <row r="659" spans="1:10" x14ac:dyDescent="0.3">
      <c r="A659" s="7" t="s">
        <v>945</v>
      </c>
      <c r="B659" s="8" t="s">
        <v>946</v>
      </c>
      <c r="C659" s="7" t="s">
        <v>12</v>
      </c>
      <c r="D659" s="7" t="s">
        <v>85</v>
      </c>
      <c r="E659" s="7" t="s">
        <v>24</v>
      </c>
      <c r="F659" s="9">
        <v>1699</v>
      </c>
      <c r="G659" s="9">
        <v>654.46</v>
      </c>
      <c r="H659" s="7">
        <v>5</v>
      </c>
      <c r="I659" s="10">
        <f t="shared" si="20"/>
        <v>0.38520306062389642</v>
      </c>
      <c r="J659" s="7" t="str">
        <f t="shared" si="21"/>
        <v>Medium</v>
      </c>
    </row>
    <row r="660" spans="1:10" x14ac:dyDescent="0.3">
      <c r="A660" s="7" t="s">
        <v>947</v>
      </c>
      <c r="B660" s="8" t="s">
        <v>946</v>
      </c>
      <c r="C660" s="7" t="s">
        <v>20</v>
      </c>
      <c r="D660" s="7" t="s">
        <v>50</v>
      </c>
      <c r="E660" s="7" t="s">
        <v>14</v>
      </c>
      <c r="F660" s="9">
        <v>292.44</v>
      </c>
      <c r="G660" s="9">
        <v>130.18</v>
      </c>
      <c r="H660" s="7">
        <v>6</v>
      </c>
      <c r="I660" s="10">
        <f t="shared" si="20"/>
        <v>0.44515114211462181</v>
      </c>
      <c r="J660" s="7" t="str">
        <f t="shared" si="21"/>
        <v>Low</v>
      </c>
    </row>
    <row r="661" spans="1:10" x14ac:dyDescent="0.3">
      <c r="A661" s="7" t="s">
        <v>948</v>
      </c>
      <c r="B661" s="8" t="s">
        <v>946</v>
      </c>
      <c r="C661" s="7" t="s">
        <v>20</v>
      </c>
      <c r="D661" s="7" t="s">
        <v>70</v>
      </c>
      <c r="E661" s="7" t="s">
        <v>14</v>
      </c>
      <c r="F661" s="9">
        <v>363.83</v>
      </c>
      <c r="G661" s="9">
        <v>88.26</v>
      </c>
      <c r="H661" s="7">
        <v>1</v>
      </c>
      <c r="I661" s="10">
        <f t="shared" si="20"/>
        <v>0.24258582304922632</v>
      </c>
      <c r="J661" s="7" t="str">
        <f t="shared" si="21"/>
        <v>Low</v>
      </c>
    </row>
    <row r="662" spans="1:10" x14ac:dyDescent="0.3">
      <c r="A662" s="7" t="s">
        <v>949</v>
      </c>
      <c r="B662" s="8" t="s">
        <v>950</v>
      </c>
      <c r="C662" s="7" t="s">
        <v>32</v>
      </c>
      <c r="D662" s="7" t="s">
        <v>43</v>
      </c>
      <c r="E662" s="7" t="s">
        <v>24</v>
      </c>
      <c r="F662" s="9">
        <v>103.48</v>
      </c>
      <c r="G662" s="9">
        <v>29.39</v>
      </c>
      <c r="H662" s="7">
        <v>1</v>
      </c>
      <c r="I662" s="10">
        <f t="shared" si="20"/>
        <v>0.28401623502126017</v>
      </c>
      <c r="J662" s="7" t="str">
        <f t="shared" si="21"/>
        <v>Low</v>
      </c>
    </row>
    <row r="663" spans="1:10" x14ac:dyDescent="0.3">
      <c r="A663" s="7" t="s">
        <v>951</v>
      </c>
      <c r="B663" s="8" t="s">
        <v>950</v>
      </c>
      <c r="C663" s="7" t="s">
        <v>20</v>
      </c>
      <c r="D663" s="7" t="s">
        <v>254</v>
      </c>
      <c r="E663" s="7" t="s">
        <v>24</v>
      </c>
      <c r="F663" s="9">
        <v>40.76</v>
      </c>
      <c r="G663" s="9">
        <v>17.100000000000001</v>
      </c>
      <c r="H663" s="7">
        <v>2</v>
      </c>
      <c r="I663" s="10">
        <f t="shared" si="20"/>
        <v>0.41952894995093232</v>
      </c>
      <c r="J663" s="7" t="str">
        <f t="shared" si="21"/>
        <v>Low</v>
      </c>
    </row>
    <row r="664" spans="1:10" x14ac:dyDescent="0.3">
      <c r="A664" s="7" t="s">
        <v>952</v>
      </c>
      <c r="B664" s="8" t="s">
        <v>950</v>
      </c>
      <c r="C664" s="7" t="s">
        <v>22</v>
      </c>
      <c r="D664" s="7" t="s">
        <v>43</v>
      </c>
      <c r="E664" s="7" t="s">
        <v>24</v>
      </c>
      <c r="F664" s="9">
        <v>298.70999999999998</v>
      </c>
      <c r="G664" s="9">
        <v>58.95</v>
      </c>
      <c r="H664" s="7">
        <v>3</v>
      </c>
      <c r="I664" s="10">
        <f t="shared" si="20"/>
        <v>0.19734859897559509</v>
      </c>
      <c r="J664" s="7" t="str">
        <f t="shared" si="21"/>
        <v>Low</v>
      </c>
    </row>
    <row r="665" spans="1:10" x14ac:dyDescent="0.3">
      <c r="A665" s="7" t="s">
        <v>953</v>
      </c>
      <c r="B665" s="8" t="s">
        <v>950</v>
      </c>
      <c r="C665" s="7" t="s">
        <v>12</v>
      </c>
      <c r="D665" s="7" t="s">
        <v>74</v>
      </c>
      <c r="E665" s="7" t="s">
        <v>18</v>
      </c>
      <c r="F665" s="9">
        <v>966.32</v>
      </c>
      <c r="G665" s="9">
        <v>173.67</v>
      </c>
      <c r="H665" s="7">
        <v>4</v>
      </c>
      <c r="I665" s="10">
        <f t="shared" si="20"/>
        <v>0.17972307310207797</v>
      </c>
      <c r="J665" s="7" t="str">
        <f t="shared" si="21"/>
        <v>Low</v>
      </c>
    </row>
    <row r="666" spans="1:10" x14ac:dyDescent="0.3">
      <c r="A666" s="7" t="s">
        <v>954</v>
      </c>
      <c r="B666" s="8" t="s">
        <v>950</v>
      </c>
      <c r="C666" s="7" t="s">
        <v>20</v>
      </c>
      <c r="D666" s="7" t="s">
        <v>34</v>
      </c>
      <c r="E666" s="7" t="s">
        <v>24</v>
      </c>
      <c r="F666" s="9">
        <v>735.24</v>
      </c>
      <c r="G666" s="9">
        <v>175.57</v>
      </c>
      <c r="H666" s="7">
        <v>2</v>
      </c>
      <c r="I666" s="10">
        <f t="shared" si="20"/>
        <v>0.2387927751482509</v>
      </c>
      <c r="J666" s="7" t="str">
        <f t="shared" si="21"/>
        <v>Low</v>
      </c>
    </row>
    <row r="667" spans="1:10" x14ac:dyDescent="0.3">
      <c r="A667" s="7" t="s">
        <v>955</v>
      </c>
      <c r="B667" s="8" t="s">
        <v>956</v>
      </c>
      <c r="C667" s="7" t="s">
        <v>32</v>
      </c>
      <c r="D667" s="7" t="s">
        <v>17</v>
      </c>
      <c r="E667" s="7" t="s">
        <v>18</v>
      </c>
      <c r="F667" s="9">
        <v>351.15</v>
      </c>
      <c r="G667" s="9">
        <v>76.239999999999995</v>
      </c>
      <c r="H667" s="7">
        <v>1</v>
      </c>
      <c r="I667" s="10">
        <f t="shared" si="20"/>
        <v>0.2171151929374911</v>
      </c>
      <c r="J667" s="7" t="str">
        <f t="shared" si="21"/>
        <v>Low</v>
      </c>
    </row>
    <row r="668" spans="1:10" x14ac:dyDescent="0.3">
      <c r="A668" s="7" t="s">
        <v>957</v>
      </c>
      <c r="B668" s="8" t="s">
        <v>956</v>
      </c>
      <c r="C668" s="7" t="s">
        <v>20</v>
      </c>
      <c r="D668" s="7" t="s">
        <v>79</v>
      </c>
      <c r="E668" s="7" t="s">
        <v>14</v>
      </c>
      <c r="F668" s="9">
        <v>781.65</v>
      </c>
      <c r="G668" s="9">
        <v>325.25</v>
      </c>
      <c r="H668" s="7">
        <v>5</v>
      </c>
      <c r="I668" s="10">
        <f t="shared" si="20"/>
        <v>0.41610695323994118</v>
      </c>
      <c r="J668" s="7" t="str">
        <f t="shared" si="21"/>
        <v>Low</v>
      </c>
    </row>
    <row r="669" spans="1:10" x14ac:dyDescent="0.3">
      <c r="A669" s="7" t="s">
        <v>958</v>
      </c>
      <c r="B669" s="8" t="s">
        <v>956</v>
      </c>
      <c r="C669" s="7" t="s">
        <v>32</v>
      </c>
      <c r="D669" s="7" t="s">
        <v>89</v>
      </c>
      <c r="E669" s="7" t="s">
        <v>24</v>
      </c>
      <c r="F669" s="9">
        <v>597.41999999999996</v>
      </c>
      <c r="G669" s="9">
        <v>177.18</v>
      </c>
      <c r="H669" s="7">
        <v>2</v>
      </c>
      <c r="I669" s="10">
        <f t="shared" si="20"/>
        <v>0.2965752736768103</v>
      </c>
      <c r="J669" s="7" t="str">
        <f t="shared" si="21"/>
        <v>Low</v>
      </c>
    </row>
    <row r="670" spans="1:10" x14ac:dyDescent="0.3">
      <c r="A670" s="7" t="s">
        <v>959</v>
      </c>
      <c r="B670" s="8" t="s">
        <v>956</v>
      </c>
      <c r="C670" s="7" t="s">
        <v>20</v>
      </c>
      <c r="D670" s="7" t="s">
        <v>60</v>
      </c>
      <c r="E670" s="7" t="s">
        <v>28</v>
      </c>
      <c r="F670" s="9">
        <v>378.43</v>
      </c>
      <c r="G670" s="9">
        <v>158.16</v>
      </c>
      <c r="H670" s="7">
        <v>1</v>
      </c>
      <c r="I670" s="10">
        <f t="shared" si="20"/>
        <v>0.41793726712998441</v>
      </c>
      <c r="J670" s="7" t="str">
        <f t="shared" si="21"/>
        <v>Low</v>
      </c>
    </row>
    <row r="671" spans="1:10" x14ac:dyDescent="0.3">
      <c r="A671" s="7" t="s">
        <v>960</v>
      </c>
      <c r="B671" s="8" t="s">
        <v>961</v>
      </c>
      <c r="C671" s="7" t="s">
        <v>20</v>
      </c>
      <c r="D671" s="7" t="s">
        <v>254</v>
      </c>
      <c r="E671" s="7" t="s">
        <v>24</v>
      </c>
      <c r="F671" s="9">
        <v>79.599999999999994</v>
      </c>
      <c r="G671" s="9">
        <v>31.03</v>
      </c>
      <c r="H671" s="7">
        <v>4</v>
      </c>
      <c r="I671" s="10">
        <f t="shared" si="20"/>
        <v>0.38982412060301513</v>
      </c>
      <c r="J671" s="7" t="str">
        <f t="shared" si="21"/>
        <v>Low</v>
      </c>
    </row>
    <row r="672" spans="1:10" x14ac:dyDescent="0.3">
      <c r="A672" s="7" t="s">
        <v>962</v>
      </c>
      <c r="B672" s="8" t="s">
        <v>961</v>
      </c>
      <c r="C672" s="7" t="s">
        <v>12</v>
      </c>
      <c r="D672" s="7" t="s">
        <v>74</v>
      </c>
      <c r="E672" s="7" t="s">
        <v>18</v>
      </c>
      <c r="F672" s="9">
        <v>225.64</v>
      </c>
      <c r="G672" s="9">
        <v>16.170000000000002</v>
      </c>
      <c r="H672" s="7">
        <v>1</v>
      </c>
      <c r="I672" s="10">
        <f t="shared" si="20"/>
        <v>7.1662825740117009E-2</v>
      </c>
      <c r="J672" s="7" t="str">
        <f t="shared" si="21"/>
        <v>Low</v>
      </c>
    </row>
    <row r="673" spans="1:10" x14ac:dyDescent="0.3">
      <c r="A673" s="7" t="s">
        <v>963</v>
      </c>
      <c r="B673" s="8" t="s">
        <v>961</v>
      </c>
      <c r="C673" s="7" t="s">
        <v>32</v>
      </c>
      <c r="D673" s="7" t="s">
        <v>13</v>
      </c>
      <c r="E673" s="7" t="s">
        <v>14</v>
      </c>
      <c r="F673" s="9">
        <v>370.1</v>
      </c>
      <c r="G673" s="9">
        <v>84.24</v>
      </c>
      <c r="H673" s="7">
        <v>1</v>
      </c>
      <c r="I673" s="10">
        <f t="shared" si="20"/>
        <v>0.22761415833558496</v>
      </c>
      <c r="J673" s="7" t="str">
        <f t="shared" si="21"/>
        <v>Low</v>
      </c>
    </row>
    <row r="674" spans="1:10" x14ac:dyDescent="0.3">
      <c r="A674" s="7" t="s">
        <v>964</v>
      </c>
      <c r="B674" s="8" t="s">
        <v>965</v>
      </c>
      <c r="C674" s="7" t="s">
        <v>20</v>
      </c>
      <c r="D674" s="7" t="s">
        <v>50</v>
      </c>
      <c r="E674" s="7" t="s">
        <v>14</v>
      </c>
      <c r="F674" s="9">
        <v>242</v>
      </c>
      <c r="G674" s="9">
        <v>106.9</v>
      </c>
      <c r="H674" s="7">
        <v>5</v>
      </c>
      <c r="I674" s="10">
        <f t="shared" si="20"/>
        <v>0.44173553719008268</v>
      </c>
      <c r="J674" s="7" t="str">
        <f t="shared" si="21"/>
        <v>Low</v>
      </c>
    </row>
    <row r="675" spans="1:10" x14ac:dyDescent="0.3">
      <c r="A675" s="7" t="s">
        <v>966</v>
      </c>
      <c r="B675" s="8" t="s">
        <v>965</v>
      </c>
      <c r="C675" s="7" t="s">
        <v>32</v>
      </c>
      <c r="D675" s="7" t="s">
        <v>57</v>
      </c>
      <c r="E675" s="7" t="s">
        <v>18</v>
      </c>
      <c r="F675" s="9">
        <v>811.15</v>
      </c>
      <c r="G675" s="9">
        <v>170.14</v>
      </c>
      <c r="H675" s="7">
        <v>5</v>
      </c>
      <c r="I675" s="10">
        <f t="shared" si="20"/>
        <v>0.20975158725266596</v>
      </c>
      <c r="J675" s="7" t="str">
        <f t="shared" si="21"/>
        <v>Low</v>
      </c>
    </row>
    <row r="676" spans="1:10" x14ac:dyDescent="0.3">
      <c r="A676" s="7" t="s">
        <v>967</v>
      </c>
      <c r="B676" s="8" t="s">
        <v>968</v>
      </c>
      <c r="C676" s="7" t="s">
        <v>22</v>
      </c>
      <c r="D676" s="7" t="s">
        <v>112</v>
      </c>
      <c r="E676" s="7" t="s">
        <v>14</v>
      </c>
      <c r="F676" s="9">
        <v>417.37</v>
      </c>
      <c r="G676" s="9">
        <v>135.01</v>
      </c>
      <c r="H676" s="7">
        <v>1</v>
      </c>
      <c r="I676" s="10">
        <f t="shared" si="20"/>
        <v>0.32347796918801064</v>
      </c>
      <c r="J676" s="7" t="str">
        <f t="shared" si="21"/>
        <v>Low</v>
      </c>
    </row>
    <row r="677" spans="1:10" x14ac:dyDescent="0.3">
      <c r="A677" s="7" t="s">
        <v>969</v>
      </c>
      <c r="B677" s="8" t="s">
        <v>970</v>
      </c>
      <c r="C677" s="7" t="s">
        <v>20</v>
      </c>
      <c r="D677" s="7" t="s">
        <v>50</v>
      </c>
      <c r="E677" s="7" t="s">
        <v>14</v>
      </c>
      <c r="F677" s="9">
        <v>49.09</v>
      </c>
      <c r="G677" s="9">
        <v>21.95</v>
      </c>
      <c r="H677" s="7">
        <v>1</v>
      </c>
      <c r="I677" s="10">
        <f t="shared" si="20"/>
        <v>0.44713790996129554</v>
      </c>
      <c r="J677" s="7" t="str">
        <f t="shared" si="21"/>
        <v>Low</v>
      </c>
    </row>
    <row r="678" spans="1:10" x14ac:dyDescent="0.3">
      <c r="A678" s="7" t="s">
        <v>971</v>
      </c>
      <c r="B678" s="8" t="s">
        <v>972</v>
      </c>
      <c r="C678" s="7" t="s">
        <v>20</v>
      </c>
      <c r="D678" s="7" t="s">
        <v>43</v>
      </c>
      <c r="E678" s="7" t="s">
        <v>24</v>
      </c>
      <c r="F678" s="9">
        <v>106.1</v>
      </c>
      <c r="G678" s="9">
        <v>28.33</v>
      </c>
      <c r="H678" s="7">
        <v>1</v>
      </c>
      <c r="I678" s="10">
        <f t="shared" si="20"/>
        <v>0.26701225259189443</v>
      </c>
      <c r="J678" s="7" t="str">
        <f t="shared" si="21"/>
        <v>Low</v>
      </c>
    </row>
    <row r="679" spans="1:10" x14ac:dyDescent="0.3">
      <c r="A679" s="7" t="s">
        <v>973</v>
      </c>
      <c r="B679" s="8" t="s">
        <v>972</v>
      </c>
      <c r="C679" s="7" t="s">
        <v>22</v>
      </c>
      <c r="D679" s="7" t="s">
        <v>38</v>
      </c>
      <c r="E679" s="7" t="s">
        <v>18</v>
      </c>
      <c r="F679" s="9">
        <v>756.04</v>
      </c>
      <c r="G679" s="9">
        <v>193.2</v>
      </c>
      <c r="H679" s="7">
        <v>2</v>
      </c>
      <c r="I679" s="10">
        <f t="shared" si="20"/>
        <v>0.25554203481297283</v>
      </c>
      <c r="J679" s="7" t="str">
        <f t="shared" si="21"/>
        <v>Low</v>
      </c>
    </row>
    <row r="680" spans="1:10" x14ac:dyDescent="0.3">
      <c r="A680" s="7" t="s">
        <v>974</v>
      </c>
      <c r="B680" s="8" t="s">
        <v>972</v>
      </c>
      <c r="C680" s="7" t="s">
        <v>20</v>
      </c>
      <c r="D680" s="7" t="s">
        <v>23</v>
      </c>
      <c r="E680" s="7" t="s">
        <v>24</v>
      </c>
      <c r="F680" s="9">
        <v>202.16</v>
      </c>
      <c r="G680" s="9">
        <v>49.54</v>
      </c>
      <c r="H680" s="7">
        <v>2</v>
      </c>
      <c r="I680" s="10">
        <f t="shared" si="20"/>
        <v>0.24505342303126237</v>
      </c>
      <c r="J680" s="7" t="str">
        <f t="shared" si="21"/>
        <v>Low</v>
      </c>
    </row>
    <row r="681" spans="1:10" x14ac:dyDescent="0.3">
      <c r="A681" s="7" t="s">
        <v>975</v>
      </c>
      <c r="B681" s="8" t="s">
        <v>972</v>
      </c>
      <c r="C681" s="7" t="s">
        <v>22</v>
      </c>
      <c r="D681" s="7" t="s">
        <v>63</v>
      </c>
      <c r="E681" s="7" t="s">
        <v>28</v>
      </c>
      <c r="F681" s="9">
        <v>200.66</v>
      </c>
      <c r="G681" s="9">
        <v>93.81</v>
      </c>
      <c r="H681" s="7">
        <v>1</v>
      </c>
      <c r="I681" s="10">
        <f t="shared" si="20"/>
        <v>0.46750722615369283</v>
      </c>
      <c r="J681" s="7" t="str">
        <f t="shared" si="21"/>
        <v>Low</v>
      </c>
    </row>
    <row r="682" spans="1:10" x14ac:dyDescent="0.3">
      <c r="A682" s="7" t="s">
        <v>976</v>
      </c>
      <c r="B682" s="8" t="s">
        <v>972</v>
      </c>
      <c r="C682" s="7" t="s">
        <v>20</v>
      </c>
      <c r="D682" s="7" t="s">
        <v>38</v>
      </c>
      <c r="E682" s="7" t="s">
        <v>18</v>
      </c>
      <c r="F682" s="9">
        <v>2882.56</v>
      </c>
      <c r="G682" s="9">
        <v>670.15</v>
      </c>
      <c r="H682" s="7">
        <v>8</v>
      </c>
      <c r="I682" s="10">
        <f t="shared" si="20"/>
        <v>0.23248431949378329</v>
      </c>
      <c r="J682" s="7" t="str">
        <f t="shared" si="21"/>
        <v>Medium</v>
      </c>
    </row>
    <row r="683" spans="1:10" x14ac:dyDescent="0.3">
      <c r="A683" s="7" t="s">
        <v>977</v>
      </c>
      <c r="B683" s="8" t="s">
        <v>972</v>
      </c>
      <c r="C683" s="7" t="s">
        <v>22</v>
      </c>
      <c r="D683" s="7" t="s">
        <v>34</v>
      </c>
      <c r="E683" s="7" t="s">
        <v>24</v>
      </c>
      <c r="F683" s="9">
        <v>354.01</v>
      </c>
      <c r="G683" s="9">
        <v>64.66</v>
      </c>
      <c r="H683" s="7">
        <v>1</v>
      </c>
      <c r="I683" s="10">
        <f t="shared" si="20"/>
        <v>0.18265020762125364</v>
      </c>
      <c r="J683" s="7" t="str">
        <f t="shared" si="21"/>
        <v>Low</v>
      </c>
    </row>
    <row r="684" spans="1:10" x14ac:dyDescent="0.3">
      <c r="A684" s="7" t="s">
        <v>978</v>
      </c>
      <c r="B684" s="8" t="s">
        <v>979</v>
      </c>
      <c r="C684" s="7" t="s">
        <v>12</v>
      </c>
      <c r="D684" s="7" t="s">
        <v>54</v>
      </c>
      <c r="E684" s="7" t="s">
        <v>28</v>
      </c>
      <c r="F684" s="9">
        <v>387.6</v>
      </c>
      <c r="G684" s="9">
        <v>157.69999999999999</v>
      </c>
      <c r="H684" s="7">
        <v>3</v>
      </c>
      <c r="I684" s="10">
        <f t="shared" si="20"/>
        <v>0.40686274509803916</v>
      </c>
      <c r="J684" s="7" t="str">
        <f t="shared" si="21"/>
        <v>Low</v>
      </c>
    </row>
    <row r="685" spans="1:10" x14ac:dyDescent="0.3">
      <c r="A685" s="7" t="s">
        <v>980</v>
      </c>
      <c r="B685" s="8" t="s">
        <v>979</v>
      </c>
      <c r="C685" s="7" t="s">
        <v>20</v>
      </c>
      <c r="D685" s="7" t="s">
        <v>85</v>
      </c>
      <c r="E685" s="7" t="s">
        <v>24</v>
      </c>
      <c r="F685" s="9">
        <v>374.95</v>
      </c>
      <c r="G685" s="9">
        <v>175.45</v>
      </c>
      <c r="H685" s="7">
        <v>1</v>
      </c>
      <c r="I685" s="10">
        <f t="shared" si="20"/>
        <v>0.46792905720762767</v>
      </c>
      <c r="J685" s="7" t="str">
        <f t="shared" si="21"/>
        <v>Low</v>
      </c>
    </row>
    <row r="686" spans="1:10" x14ac:dyDescent="0.3">
      <c r="A686" s="7" t="s">
        <v>981</v>
      </c>
      <c r="B686" s="8" t="s">
        <v>979</v>
      </c>
      <c r="C686" s="7" t="s">
        <v>32</v>
      </c>
      <c r="D686" s="7" t="s">
        <v>89</v>
      </c>
      <c r="E686" s="7" t="s">
        <v>24</v>
      </c>
      <c r="F686" s="9">
        <v>618.1</v>
      </c>
      <c r="G686" s="9">
        <v>207.44</v>
      </c>
      <c r="H686" s="7">
        <v>2</v>
      </c>
      <c r="I686" s="10">
        <f t="shared" si="20"/>
        <v>0.33560912473709753</v>
      </c>
      <c r="J686" s="7" t="str">
        <f t="shared" si="21"/>
        <v>Low</v>
      </c>
    </row>
    <row r="687" spans="1:10" x14ac:dyDescent="0.3">
      <c r="A687" s="7" t="s">
        <v>982</v>
      </c>
      <c r="B687" s="8" t="s">
        <v>979</v>
      </c>
      <c r="C687" s="7" t="s">
        <v>12</v>
      </c>
      <c r="D687" s="7" t="s">
        <v>13</v>
      </c>
      <c r="E687" s="7" t="s">
        <v>14</v>
      </c>
      <c r="F687" s="9">
        <v>397.95</v>
      </c>
      <c r="G687" s="9">
        <v>120.1</v>
      </c>
      <c r="H687" s="7">
        <v>1</v>
      </c>
      <c r="I687" s="10">
        <f t="shared" si="20"/>
        <v>0.30179670812916193</v>
      </c>
      <c r="J687" s="7" t="str">
        <f t="shared" si="21"/>
        <v>Low</v>
      </c>
    </row>
    <row r="688" spans="1:10" x14ac:dyDescent="0.3">
      <c r="A688" s="7" t="s">
        <v>983</v>
      </c>
      <c r="B688" s="8" t="s">
        <v>984</v>
      </c>
      <c r="C688" s="7" t="s">
        <v>12</v>
      </c>
      <c r="D688" s="7" t="s">
        <v>54</v>
      </c>
      <c r="E688" s="7" t="s">
        <v>28</v>
      </c>
      <c r="F688" s="9">
        <v>127.37</v>
      </c>
      <c r="G688" s="9">
        <v>50.64</v>
      </c>
      <c r="H688" s="7">
        <v>1</v>
      </c>
      <c r="I688" s="10">
        <f t="shared" si="20"/>
        <v>0.39758184815890713</v>
      </c>
      <c r="J688" s="7" t="str">
        <f t="shared" si="21"/>
        <v>Low</v>
      </c>
    </row>
    <row r="689" spans="1:10" x14ac:dyDescent="0.3">
      <c r="A689" s="7" t="s">
        <v>985</v>
      </c>
      <c r="B689" s="8" t="s">
        <v>984</v>
      </c>
      <c r="C689" s="7" t="s">
        <v>32</v>
      </c>
      <c r="D689" s="7" t="s">
        <v>57</v>
      </c>
      <c r="E689" s="7" t="s">
        <v>18</v>
      </c>
      <c r="F689" s="9">
        <v>170.27</v>
      </c>
      <c r="G689" s="9">
        <v>44.01</v>
      </c>
      <c r="H689" s="7">
        <v>1</v>
      </c>
      <c r="I689" s="10">
        <f t="shared" si="20"/>
        <v>0.25847183884418862</v>
      </c>
      <c r="J689" s="7" t="str">
        <f t="shared" si="21"/>
        <v>Low</v>
      </c>
    </row>
    <row r="690" spans="1:10" x14ac:dyDescent="0.3">
      <c r="A690" s="7" t="s">
        <v>986</v>
      </c>
      <c r="B690" s="8" t="s">
        <v>984</v>
      </c>
      <c r="C690" s="7" t="s">
        <v>32</v>
      </c>
      <c r="D690" s="7" t="s">
        <v>89</v>
      </c>
      <c r="E690" s="7" t="s">
        <v>24</v>
      </c>
      <c r="F690" s="9">
        <v>308.02</v>
      </c>
      <c r="G690" s="9">
        <v>105.58</v>
      </c>
      <c r="H690" s="7">
        <v>1</v>
      </c>
      <c r="I690" s="10">
        <f t="shared" si="20"/>
        <v>0.34276995000324656</v>
      </c>
      <c r="J690" s="7" t="str">
        <f t="shared" si="21"/>
        <v>Low</v>
      </c>
    </row>
    <row r="691" spans="1:10" x14ac:dyDescent="0.3">
      <c r="A691" s="7" t="s">
        <v>987</v>
      </c>
      <c r="B691" s="8" t="s">
        <v>984</v>
      </c>
      <c r="C691" s="7" t="s">
        <v>12</v>
      </c>
      <c r="D691" s="7" t="s">
        <v>27</v>
      </c>
      <c r="E691" s="7" t="s">
        <v>28</v>
      </c>
      <c r="F691" s="9">
        <v>678.3</v>
      </c>
      <c r="G691" s="9">
        <v>173.59</v>
      </c>
      <c r="H691" s="7">
        <v>2</v>
      </c>
      <c r="I691" s="10">
        <f t="shared" si="20"/>
        <v>0.25591920978917887</v>
      </c>
      <c r="J691" s="7" t="str">
        <f t="shared" si="21"/>
        <v>Low</v>
      </c>
    </row>
    <row r="692" spans="1:10" x14ac:dyDescent="0.3">
      <c r="A692" s="7" t="s">
        <v>988</v>
      </c>
      <c r="B692" s="8" t="s">
        <v>989</v>
      </c>
      <c r="C692" s="7" t="s">
        <v>32</v>
      </c>
      <c r="D692" s="7" t="s">
        <v>85</v>
      </c>
      <c r="E692" s="7" t="s">
        <v>24</v>
      </c>
      <c r="F692" s="9">
        <v>1684.75</v>
      </c>
      <c r="G692" s="9">
        <v>668.46</v>
      </c>
      <c r="H692" s="7">
        <v>5</v>
      </c>
      <c r="I692" s="10">
        <f t="shared" si="20"/>
        <v>0.3967710342780828</v>
      </c>
      <c r="J692" s="7" t="str">
        <f t="shared" si="21"/>
        <v>Medium</v>
      </c>
    </row>
    <row r="693" spans="1:10" x14ac:dyDescent="0.3">
      <c r="A693" s="7" t="s">
        <v>990</v>
      </c>
      <c r="B693" s="8" t="s">
        <v>991</v>
      </c>
      <c r="C693" s="7" t="s">
        <v>12</v>
      </c>
      <c r="D693" s="7" t="s">
        <v>89</v>
      </c>
      <c r="E693" s="7" t="s">
        <v>24</v>
      </c>
      <c r="F693" s="9">
        <v>1426.5</v>
      </c>
      <c r="G693" s="9">
        <v>343.84</v>
      </c>
      <c r="H693" s="7">
        <v>5</v>
      </c>
      <c r="I693" s="10">
        <f t="shared" si="20"/>
        <v>0.24103750438135293</v>
      </c>
      <c r="J693" s="7" t="str">
        <f t="shared" si="21"/>
        <v>Low</v>
      </c>
    </row>
    <row r="694" spans="1:10" x14ac:dyDescent="0.3">
      <c r="A694" s="7" t="s">
        <v>992</v>
      </c>
      <c r="B694" s="8" t="s">
        <v>993</v>
      </c>
      <c r="C694" s="7" t="s">
        <v>22</v>
      </c>
      <c r="D694" s="7" t="s">
        <v>63</v>
      </c>
      <c r="E694" s="7" t="s">
        <v>28</v>
      </c>
      <c r="F694" s="9">
        <v>776</v>
      </c>
      <c r="G694" s="9">
        <v>350.85</v>
      </c>
      <c r="H694" s="7">
        <v>4</v>
      </c>
      <c r="I694" s="10">
        <f t="shared" si="20"/>
        <v>0.45212628865979382</v>
      </c>
      <c r="J694" s="7" t="str">
        <f t="shared" si="21"/>
        <v>Low</v>
      </c>
    </row>
    <row r="695" spans="1:10" x14ac:dyDescent="0.3">
      <c r="A695" s="7" t="s">
        <v>994</v>
      </c>
      <c r="B695" s="8" t="s">
        <v>993</v>
      </c>
      <c r="C695" s="7" t="s">
        <v>12</v>
      </c>
      <c r="D695" s="7" t="s">
        <v>85</v>
      </c>
      <c r="E695" s="7" t="s">
        <v>24</v>
      </c>
      <c r="F695" s="9">
        <v>1480.96</v>
      </c>
      <c r="G695" s="9">
        <v>691.55</v>
      </c>
      <c r="H695" s="7">
        <v>4</v>
      </c>
      <c r="I695" s="10">
        <f t="shared" si="20"/>
        <v>0.46696062013828865</v>
      </c>
      <c r="J695" s="7" t="str">
        <f t="shared" si="21"/>
        <v>Low</v>
      </c>
    </row>
    <row r="696" spans="1:10" x14ac:dyDescent="0.3">
      <c r="A696" s="7" t="s">
        <v>995</v>
      </c>
      <c r="B696" s="8" t="s">
        <v>993</v>
      </c>
      <c r="C696" s="7" t="s">
        <v>20</v>
      </c>
      <c r="D696" s="7" t="s">
        <v>57</v>
      </c>
      <c r="E696" s="7" t="s">
        <v>18</v>
      </c>
      <c r="F696" s="9">
        <v>735.32</v>
      </c>
      <c r="G696" s="9">
        <v>219.36</v>
      </c>
      <c r="H696" s="7">
        <v>4</v>
      </c>
      <c r="I696" s="10">
        <f t="shared" si="20"/>
        <v>0.29831909916770927</v>
      </c>
      <c r="J696" s="7" t="str">
        <f t="shared" si="21"/>
        <v>Low</v>
      </c>
    </row>
    <row r="697" spans="1:10" x14ac:dyDescent="0.3">
      <c r="A697" s="7" t="s">
        <v>996</v>
      </c>
      <c r="B697" s="8" t="s">
        <v>993</v>
      </c>
      <c r="C697" s="7" t="s">
        <v>12</v>
      </c>
      <c r="D697" s="7" t="s">
        <v>254</v>
      </c>
      <c r="E697" s="7" t="s">
        <v>24</v>
      </c>
      <c r="F697" s="9">
        <v>37.74</v>
      </c>
      <c r="G697" s="9">
        <v>14.72</v>
      </c>
      <c r="H697" s="7">
        <v>2</v>
      </c>
      <c r="I697" s="10">
        <f t="shared" si="20"/>
        <v>0.39003709591944885</v>
      </c>
      <c r="J697" s="7" t="str">
        <f t="shared" si="21"/>
        <v>Low</v>
      </c>
    </row>
    <row r="698" spans="1:10" x14ac:dyDescent="0.3">
      <c r="A698" s="7" t="s">
        <v>997</v>
      </c>
      <c r="B698" s="8" t="s">
        <v>998</v>
      </c>
      <c r="C698" s="7" t="s">
        <v>20</v>
      </c>
      <c r="D698" s="7" t="s">
        <v>57</v>
      </c>
      <c r="E698" s="7" t="s">
        <v>18</v>
      </c>
      <c r="F698" s="9">
        <v>830.1</v>
      </c>
      <c r="G698" s="9">
        <v>222.6</v>
      </c>
      <c r="H698" s="7">
        <v>5</v>
      </c>
      <c r="I698" s="10">
        <f t="shared" si="20"/>
        <v>0.26816046259486809</v>
      </c>
      <c r="J698" s="7" t="str">
        <f t="shared" si="21"/>
        <v>Low</v>
      </c>
    </row>
    <row r="699" spans="1:10" x14ac:dyDescent="0.3">
      <c r="A699" s="7" t="s">
        <v>999</v>
      </c>
      <c r="B699" s="8" t="s">
        <v>1000</v>
      </c>
      <c r="C699" s="7" t="s">
        <v>12</v>
      </c>
      <c r="D699" s="7" t="s">
        <v>38</v>
      </c>
      <c r="E699" s="7" t="s">
        <v>18</v>
      </c>
      <c r="F699" s="9">
        <v>786.14</v>
      </c>
      <c r="G699" s="9">
        <v>217.19</v>
      </c>
      <c r="H699" s="7">
        <v>2</v>
      </c>
      <c r="I699" s="10">
        <f t="shared" si="20"/>
        <v>0.27627394611646783</v>
      </c>
      <c r="J699" s="7" t="str">
        <f t="shared" si="21"/>
        <v>Low</v>
      </c>
    </row>
    <row r="700" spans="1:10" x14ac:dyDescent="0.3">
      <c r="A700" s="7" t="s">
        <v>1001</v>
      </c>
      <c r="B700" s="8" t="s">
        <v>1000</v>
      </c>
      <c r="C700" s="7" t="s">
        <v>12</v>
      </c>
      <c r="D700" s="7" t="s">
        <v>23</v>
      </c>
      <c r="E700" s="7" t="s">
        <v>24</v>
      </c>
      <c r="F700" s="9">
        <v>108.58</v>
      </c>
      <c r="G700" s="9">
        <v>37.75</v>
      </c>
      <c r="H700" s="7">
        <v>1</v>
      </c>
      <c r="I700" s="10">
        <f t="shared" si="20"/>
        <v>0.34766992079572667</v>
      </c>
      <c r="J700" s="7" t="str">
        <f t="shared" si="21"/>
        <v>Low</v>
      </c>
    </row>
    <row r="701" spans="1:10" x14ac:dyDescent="0.3">
      <c r="A701" s="7" t="s">
        <v>1002</v>
      </c>
      <c r="B701" s="8" t="s">
        <v>1000</v>
      </c>
      <c r="C701" s="7" t="s">
        <v>32</v>
      </c>
      <c r="D701" s="7" t="s">
        <v>13</v>
      </c>
      <c r="E701" s="7" t="s">
        <v>14</v>
      </c>
      <c r="F701" s="9">
        <v>1526.56</v>
      </c>
      <c r="G701" s="9">
        <v>425.83</v>
      </c>
      <c r="H701" s="7">
        <v>4</v>
      </c>
      <c r="I701" s="10">
        <f t="shared" si="20"/>
        <v>0.27894743737553718</v>
      </c>
      <c r="J701" s="7" t="str">
        <f t="shared" si="21"/>
        <v>Medium</v>
      </c>
    </row>
    <row r="702" spans="1:10" x14ac:dyDescent="0.3">
      <c r="A702" s="7" t="s">
        <v>1003</v>
      </c>
      <c r="B702" s="8" t="s">
        <v>1000</v>
      </c>
      <c r="C702" s="7" t="s">
        <v>22</v>
      </c>
      <c r="D702" s="7" t="s">
        <v>17</v>
      </c>
      <c r="E702" s="7" t="s">
        <v>18</v>
      </c>
      <c r="F702" s="9">
        <v>1044.54</v>
      </c>
      <c r="G702" s="9">
        <v>200.75</v>
      </c>
      <c r="H702" s="7">
        <v>3</v>
      </c>
      <c r="I702" s="10">
        <f t="shared" si="20"/>
        <v>0.19218986348057518</v>
      </c>
      <c r="J702" s="7" t="str">
        <f t="shared" si="21"/>
        <v>Low</v>
      </c>
    </row>
    <row r="703" spans="1:10" x14ac:dyDescent="0.3">
      <c r="A703" s="7" t="s">
        <v>1004</v>
      </c>
      <c r="B703" s="8" t="s">
        <v>1000</v>
      </c>
      <c r="C703" s="7" t="s">
        <v>12</v>
      </c>
      <c r="D703" s="7" t="s">
        <v>85</v>
      </c>
      <c r="E703" s="7" t="s">
        <v>24</v>
      </c>
      <c r="F703" s="9">
        <v>354.3</v>
      </c>
      <c r="G703" s="9">
        <v>161.75</v>
      </c>
      <c r="H703" s="7">
        <v>1</v>
      </c>
      <c r="I703" s="10">
        <f t="shared" si="20"/>
        <v>0.45653401072537397</v>
      </c>
      <c r="J703" s="7" t="str">
        <f t="shared" si="21"/>
        <v>Low</v>
      </c>
    </row>
    <row r="704" spans="1:10" x14ac:dyDescent="0.3">
      <c r="A704" s="7" t="s">
        <v>1005</v>
      </c>
      <c r="B704" s="8" t="s">
        <v>1006</v>
      </c>
      <c r="C704" s="7" t="s">
        <v>20</v>
      </c>
      <c r="D704" s="7" t="s">
        <v>17</v>
      </c>
      <c r="E704" s="7" t="s">
        <v>18</v>
      </c>
      <c r="F704" s="9">
        <v>725.8</v>
      </c>
      <c r="G704" s="9">
        <v>171.95</v>
      </c>
      <c r="H704" s="7">
        <v>2</v>
      </c>
      <c r="I704" s="10">
        <f t="shared" si="20"/>
        <v>0.23691099476439789</v>
      </c>
      <c r="J704" s="7" t="str">
        <f t="shared" si="21"/>
        <v>Low</v>
      </c>
    </row>
    <row r="705" spans="1:10" x14ac:dyDescent="0.3">
      <c r="A705" s="7" t="s">
        <v>1007</v>
      </c>
      <c r="B705" s="8" t="s">
        <v>1006</v>
      </c>
      <c r="C705" s="7" t="s">
        <v>20</v>
      </c>
      <c r="D705" s="7" t="s">
        <v>34</v>
      </c>
      <c r="E705" s="7" t="s">
        <v>24</v>
      </c>
      <c r="F705" s="9">
        <v>342.03</v>
      </c>
      <c r="G705" s="9">
        <v>59.8</v>
      </c>
      <c r="H705" s="7">
        <v>1</v>
      </c>
      <c r="I705" s="10">
        <f t="shared" si="20"/>
        <v>0.17483846446218168</v>
      </c>
      <c r="J705" s="7" t="str">
        <f t="shared" si="21"/>
        <v>Low</v>
      </c>
    </row>
    <row r="706" spans="1:10" x14ac:dyDescent="0.3">
      <c r="A706" s="7" t="s">
        <v>1008</v>
      </c>
      <c r="B706" s="8" t="s">
        <v>1006</v>
      </c>
      <c r="C706" s="7" t="s">
        <v>12</v>
      </c>
      <c r="D706" s="7" t="s">
        <v>38</v>
      </c>
      <c r="E706" s="7" t="s">
        <v>18</v>
      </c>
      <c r="F706" s="9">
        <v>1486.92</v>
      </c>
      <c r="G706" s="9">
        <v>417.09</v>
      </c>
      <c r="H706" s="7">
        <v>4</v>
      </c>
      <c r="I706" s="10">
        <f t="shared" ref="I706:I769" si="22">IFERROR(G706/F706,0)</f>
        <v>0.28050601242837542</v>
      </c>
      <c r="J706" s="7" t="str">
        <f t="shared" ref="J706:J769" si="23">IF(F706&gt;5000,"High",IF(F706&gt;1500,"Medium","Low"))</f>
        <v>Low</v>
      </c>
    </row>
    <row r="707" spans="1:10" x14ac:dyDescent="0.3">
      <c r="A707" s="7" t="s">
        <v>1009</v>
      </c>
      <c r="B707" s="8" t="s">
        <v>1006</v>
      </c>
      <c r="C707" s="7" t="s">
        <v>12</v>
      </c>
      <c r="D707" s="7" t="s">
        <v>13</v>
      </c>
      <c r="E707" s="7" t="s">
        <v>14</v>
      </c>
      <c r="F707" s="9">
        <v>361.96</v>
      </c>
      <c r="G707" s="9">
        <v>80.459999999999994</v>
      </c>
      <c r="H707" s="7">
        <v>1</v>
      </c>
      <c r="I707" s="10">
        <f t="shared" si="22"/>
        <v>0.22228975577411869</v>
      </c>
      <c r="J707" s="7" t="str">
        <f t="shared" si="23"/>
        <v>Low</v>
      </c>
    </row>
    <row r="708" spans="1:10" x14ac:dyDescent="0.3">
      <c r="A708" s="7" t="s">
        <v>1010</v>
      </c>
      <c r="B708" s="8" t="s">
        <v>1011</v>
      </c>
      <c r="C708" s="7" t="s">
        <v>12</v>
      </c>
      <c r="D708" s="7" t="s">
        <v>60</v>
      </c>
      <c r="E708" s="7" t="s">
        <v>28</v>
      </c>
      <c r="F708" s="9">
        <v>811.4</v>
      </c>
      <c r="G708" s="9">
        <v>342.94</v>
      </c>
      <c r="H708" s="7">
        <v>2</v>
      </c>
      <c r="I708" s="10">
        <f t="shared" si="22"/>
        <v>0.42265220606359377</v>
      </c>
      <c r="J708" s="7" t="str">
        <f t="shared" si="23"/>
        <v>Low</v>
      </c>
    </row>
    <row r="709" spans="1:10" x14ac:dyDescent="0.3">
      <c r="A709" s="7" t="s">
        <v>1012</v>
      </c>
      <c r="B709" s="8" t="s">
        <v>1011</v>
      </c>
      <c r="C709" s="7" t="s">
        <v>32</v>
      </c>
      <c r="D709" s="7" t="s">
        <v>60</v>
      </c>
      <c r="E709" s="7" t="s">
        <v>28</v>
      </c>
      <c r="F709" s="9">
        <v>406.03</v>
      </c>
      <c r="G709" s="9">
        <v>171.78</v>
      </c>
      <c r="H709" s="7">
        <v>1</v>
      </c>
      <c r="I709" s="10">
        <f t="shared" si="22"/>
        <v>0.42307218678422781</v>
      </c>
      <c r="J709" s="7" t="str">
        <f t="shared" si="23"/>
        <v>Low</v>
      </c>
    </row>
    <row r="710" spans="1:10" x14ac:dyDescent="0.3">
      <c r="A710" s="7" t="s">
        <v>1013</v>
      </c>
      <c r="B710" s="8" t="s">
        <v>1014</v>
      </c>
      <c r="C710" s="7" t="s">
        <v>32</v>
      </c>
      <c r="D710" s="7" t="s">
        <v>74</v>
      </c>
      <c r="E710" s="7" t="s">
        <v>18</v>
      </c>
      <c r="F710" s="9">
        <v>476.36</v>
      </c>
      <c r="G710" s="9">
        <v>80.489999999999995</v>
      </c>
      <c r="H710" s="7">
        <v>2</v>
      </c>
      <c r="I710" s="10">
        <f t="shared" si="22"/>
        <v>0.1689688470904358</v>
      </c>
      <c r="J710" s="7" t="str">
        <f t="shared" si="23"/>
        <v>Low</v>
      </c>
    </row>
    <row r="711" spans="1:10" x14ac:dyDescent="0.3">
      <c r="A711" s="7" t="s">
        <v>1015</v>
      </c>
      <c r="B711" s="8" t="s">
        <v>1014</v>
      </c>
      <c r="C711" s="7" t="s">
        <v>22</v>
      </c>
      <c r="D711" s="7" t="s">
        <v>23</v>
      </c>
      <c r="E711" s="7" t="s">
        <v>24</v>
      </c>
      <c r="F711" s="9">
        <v>192.74</v>
      </c>
      <c r="G711" s="9">
        <v>45.93</v>
      </c>
      <c r="H711" s="7">
        <v>2</v>
      </c>
      <c r="I711" s="10">
        <f t="shared" si="22"/>
        <v>0.23830030092352392</v>
      </c>
      <c r="J711" s="7" t="str">
        <f t="shared" si="23"/>
        <v>Low</v>
      </c>
    </row>
    <row r="712" spans="1:10" x14ac:dyDescent="0.3">
      <c r="A712" s="7" t="s">
        <v>1016</v>
      </c>
      <c r="B712" s="8" t="s">
        <v>1014</v>
      </c>
      <c r="C712" s="7" t="s">
        <v>22</v>
      </c>
      <c r="D712" s="7" t="s">
        <v>60</v>
      </c>
      <c r="E712" s="7" t="s">
        <v>28</v>
      </c>
      <c r="F712" s="9">
        <v>773</v>
      </c>
      <c r="G712" s="9">
        <v>320.8</v>
      </c>
      <c r="H712" s="7">
        <v>2</v>
      </c>
      <c r="I712" s="10">
        <f t="shared" si="22"/>
        <v>0.41500646830530402</v>
      </c>
      <c r="J712" s="7" t="str">
        <f t="shared" si="23"/>
        <v>Low</v>
      </c>
    </row>
    <row r="713" spans="1:10" x14ac:dyDescent="0.3">
      <c r="A713" s="7" t="s">
        <v>1017</v>
      </c>
      <c r="B713" s="8" t="s">
        <v>1018</v>
      </c>
      <c r="C713" s="7" t="s">
        <v>32</v>
      </c>
      <c r="D713" s="7" t="s">
        <v>54</v>
      </c>
      <c r="E713" s="7" t="s">
        <v>28</v>
      </c>
      <c r="F713" s="9">
        <v>621.20000000000005</v>
      </c>
      <c r="G713" s="9">
        <v>212.54</v>
      </c>
      <c r="H713" s="7">
        <v>5</v>
      </c>
      <c r="I713" s="10">
        <f t="shared" si="22"/>
        <v>0.34214423696072116</v>
      </c>
      <c r="J713" s="7" t="str">
        <f t="shared" si="23"/>
        <v>Low</v>
      </c>
    </row>
    <row r="714" spans="1:10" x14ac:dyDescent="0.3">
      <c r="A714" s="7" t="s">
        <v>1019</v>
      </c>
      <c r="B714" s="8" t="s">
        <v>1018</v>
      </c>
      <c r="C714" s="7" t="s">
        <v>20</v>
      </c>
      <c r="D714" s="7" t="s">
        <v>74</v>
      </c>
      <c r="E714" s="7" t="s">
        <v>18</v>
      </c>
      <c r="F714" s="9">
        <v>254.06</v>
      </c>
      <c r="G714" s="9">
        <v>54.17</v>
      </c>
      <c r="H714" s="7">
        <v>1</v>
      </c>
      <c r="I714" s="10">
        <f t="shared" si="22"/>
        <v>0.21321735023222863</v>
      </c>
      <c r="J714" s="7" t="str">
        <f t="shared" si="23"/>
        <v>Low</v>
      </c>
    </row>
    <row r="715" spans="1:10" x14ac:dyDescent="0.3">
      <c r="A715" s="7" t="s">
        <v>1020</v>
      </c>
      <c r="B715" s="8" t="s">
        <v>1018</v>
      </c>
      <c r="C715" s="7" t="s">
        <v>20</v>
      </c>
      <c r="D715" s="7" t="s">
        <v>38</v>
      </c>
      <c r="E715" s="7" t="s">
        <v>18</v>
      </c>
      <c r="F715" s="9">
        <v>392.17</v>
      </c>
      <c r="G715" s="9">
        <v>103.77</v>
      </c>
      <c r="H715" s="7">
        <v>1</v>
      </c>
      <c r="I715" s="10">
        <f t="shared" si="22"/>
        <v>0.26460463574470255</v>
      </c>
      <c r="J715" s="7" t="str">
        <f t="shared" si="23"/>
        <v>Low</v>
      </c>
    </row>
    <row r="716" spans="1:10" x14ac:dyDescent="0.3">
      <c r="A716" s="7" t="s">
        <v>1021</v>
      </c>
      <c r="B716" s="8" t="s">
        <v>1022</v>
      </c>
      <c r="C716" s="7" t="s">
        <v>32</v>
      </c>
      <c r="D716" s="7" t="s">
        <v>63</v>
      </c>
      <c r="E716" s="7" t="s">
        <v>28</v>
      </c>
      <c r="F716" s="9">
        <v>738.56</v>
      </c>
      <c r="G716" s="9">
        <v>296.06</v>
      </c>
      <c r="H716" s="7">
        <v>4</v>
      </c>
      <c r="I716" s="10">
        <f t="shared" si="22"/>
        <v>0.40086113518197575</v>
      </c>
      <c r="J716" s="7" t="str">
        <f t="shared" si="23"/>
        <v>Low</v>
      </c>
    </row>
    <row r="717" spans="1:10" x14ac:dyDescent="0.3">
      <c r="A717" s="7" t="s">
        <v>1023</v>
      </c>
      <c r="B717" s="8" t="s">
        <v>1022</v>
      </c>
      <c r="C717" s="7" t="s">
        <v>12</v>
      </c>
      <c r="D717" s="7" t="s">
        <v>85</v>
      </c>
      <c r="E717" s="7" t="s">
        <v>24</v>
      </c>
      <c r="F717" s="9">
        <v>2032.2</v>
      </c>
      <c r="G717" s="9">
        <v>785.01</v>
      </c>
      <c r="H717" s="7">
        <v>6</v>
      </c>
      <c r="I717" s="10">
        <f t="shared" si="22"/>
        <v>0.38628579864186596</v>
      </c>
      <c r="J717" s="7" t="str">
        <f t="shared" si="23"/>
        <v>Medium</v>
      </c>
    </row>
    <row r="718" spans="1:10" x14ac:dyDescent="0.3">
      <c r="A718" s="7" t="s">
        <v>1024</v>
      </c>
      <c r="B718" s="8" t="s">
        <v>1022</v>
      </c>
      <c r="C718" s="7" t="s">
        <v>22</v>
      </c>
      <c r="D718" s="7" t="s">
        <v>254</v>
      </c>
      <c r="E718" s="7" t="s">
        <v>24</v>
      </c>
      <c r="F718" s="9">
        <v>39.5</v>
      </c>
      <c r="G718" s="9">
        <v>15.45</v>
      </c>
      <c r="H718" s="7">
        <v>2</v>
      </c>
      <c r="I718" s="10">
        <f t="shared" si="22"/>
        <v>0.39113924050632909</v>
      </c>
      <c r="J718" s="7" t="str">
        <f t="shared" si="23"/>
        <v>Low</v>
      </c>
    </row>
    <row r="719" spans="1:10" x14ac:dyDescent="0.3">
      <c r="A719" s="7" t="s">
        <v>1025</v>
      </c>
      <c r="B719" s="8" t="s">
        <v>1026</v>
      </c>
      <c r="C719" s="7" t="s">
        <v>12</v>
      </c>
      <c r="D719" s="7" t="s">
        <v>43</v>
      </c>
      <c r="E719" s="7" t="s">
        <v>24</v>
      </c>
      <c r="F719" s="9">
        <v>205.48</v>
      </c>
      <c r="G719" s="9">
        <v>50.05</v>
      </c>
      <c r="H719" s="7">
        <v>2</v>
      </c>
      <c r="I719" s="10">
        <f t="shared" si="22"/>
        <v>0.24357601713062099</v>
      </c>
      <c r="J719" s="7" t="str">
        <f t="shared" si="23"/>
        <v>Low</v>
      </c>
    </row>
    <row r="720" spans="1:10" x14ac:dyDescent="0.3">
      <c r="A720" s="7" t="s">
        <v>1027</v>
      </c>
      <c r="B720" s="8" t="s">
        <v>1026</v>
      </c>
      <c r="C720" s="7" t="s">
        <v>12</v>
      </c>
      <c r="D720" s="7" t="s">
        <v>57</v>
      </c>
      <c r="E720" s="7" t="s">
        <v>18</v>
      </c>
      <c r="F720" s="9">
        <v>182.98</v>
      </c>
      <c r="G720" s="9">
        <v>60.99</v>
      </c>
      <c r="H720" s="7">
        <v>1</v>
      </c>
      <c r="I720" s="10">
        <f t="shared" si="22"/>
        <v>0.33331511640616462</v>
      </c>
      <c r="J720" s="7" t="str">
        <f t="shared" si="23"/>
        <v>Low</v>
      </c>
    </row>
    <row r="721" spans="1:10" x14ac:dyDescent="0.3">
      <c r="A721" s="7" t="s">
        <v>1028</v>
      </c>
      <c r="B721" s="8" t="s">
        <v>1026</v>
      </c>
      <c r="C721" s="7" t="s">
        <v>32</v>
      </c>
      <c r="D721" s="7" t="s">
        <v>23</v>
      </c>
      <c r="E721" s="7" t="s">
        <v>24</v>
      </c>
      <c r="F721" s="9">
        <v>295.89</v>
      </c>
      <c r="G721" s="9">
        <v>68.7</v>
      </c>
      <c r="H721" s="7">
        <v>3</v>
      </c>
      <c r="I721" s="10">
        <f t="shared" si="22"/>
        <v>0.23218087802899728</v>
      </c>
      <c r="J721" s="7" t="str">
        <f t="shared" si="23"/>
        <v>Low</v>
      </c>
    </row>
    <row r="722" spans="1:10" x14ac:dyDescent="0.3">
      <c r="A722" s="7" t="s">
        <v>1029</v>
      </c>
      <c r="B722" s="8" t="s">
        <v>1026</v>
      </c>
      <c r="C722" s="7" t="s">
        <v>12</v>
      </c>
      <c r="D722" s="7" t="s">
        <v>74</v>
      </c>
      <c r="E722" s="7" t="s">
        <v>18</v>
      </c>
      <c r="F722" s="9">
        <v>232.48</v>
      </c>
      <c r="G722" s="9">
        <v>24.62</v>
      </c>
      <c r="H722" s="7">
        <v>1</v>
      </c>
      <c r="I722" s="10">
        <f t="shared" si="22"/>
        <v>0.10590158293186512</v>
      </c>
      <c r="J722" s="7" t="str">
        <f t="shared" si="23"/>
        <v>Low</v>
      </c>
    </row>
    <row r="723" spans="1:10" x14ac:dyDescent="0.3">
      <c r="A723" s="7" t="s">
        <v>1030</v>
      </c>
      <c r="B723" s="8" t="s">
        <v>1026</v>
      </c>
      <c r="C723" s="7" t="s">
        <v>22</v>
      </c>
      <c r="D723" s="7" t="s">
        <v>254</v>
      </c>
      <c r="E723" s="7" t="s">
        <v>24</v>
      </c>
      <c r="F723" s="9">
        <v>75.56</v>
      </c>
      <c r="G723" s="9">
        <v>28.48</v>
      </c>
      <c r="H723" s="7">
        <v>4</v>
      </c>
      <c r="I723" s="10">
        <f t="shared" si="22"/>
        <v>0.37691900476442564</v>
      </c>
      <c r="J723" s="7" t="str">
        <f t="shared" si="23"/>
        <v>Low</v>
      </c>
    </row>
    <row r="724" spans="1:10" x14ac:dyDescent="0.3">
      <c r="A724" s="7" t="s">
        <v>1031</v>
      </c>
      <c r="B724" s="8" t="s">
        <v>1026</v>
      </c>
      <c r="C724" s="7" t="s">
        <v>20</v>
      </c>
      <c r="D724" s="7" t="s">
        <v>23</v>
      </c>
      <c r="E724" s="7" t="s">
        <v>24</v>
      </c>
      <c r="F724" s="9">
        <v>415.64</v>
      </c>
      <c r="G724" s="9">
        <v>110.53</v>
      </c>
      <c r="H724" s="7">
        <v>4</v>
      </c>
      <c r="I724" s="10">
        <f t="shared" si="22"/>
        <v>0.26592724473101725</v>
      </c>
      <c r="J724" s="7" t="str">
        <f t="shared" si="23"/>
        <v>Low</v>
      </c>
    </row>
    <row r="725" spans="1:10" x14ac:dyDescent="0.3">
      <c r="A725" s="7" t="s">
        <v>1032</v>
      </c>
      <c r="B725" s="8" t="s">
        <v>1033</v>
      </c>
      <c r="C725" s="7" t="s">
        <v>22</v>
      </c>
      <c r="D725" s="7" t="s">
        <v>74</v>
      </c>
      <c r="E725" s="7" t="s">
        <v>18</v>
      </c>
      <c r="F725" s="9">
        <v>955.6</v>
      </c>
      <c r="G725" s="9">
        <v>138.53</v>
      </c>
      <c r="H725" s="7">
        <v>4</v>
      </c>
      <c r="I725" s="10">
        <f t="shared" si="22"/>
        <v>0.14496651318543324</v>
      </c>
      <c r="J725" s="7" t="str">
        <f t="shared" si="23"/>
        <v>Low</v>
      </c>
    </row>
    <row r="726" spans="1:10" x14ac:dyDescent="0.3">
      <c r="A726" s="7" t="s">
        <v>1034</v>
      </c>
      <c r="B726" s="8" t="s">
        <v>1033</v>
      </c>
      <c r="C726" s="7" t="s">
        <v>22</v>
      </c>
      <c r="D726" s="7" t="s">
        <v>57</v>
      </c>
      <c r="E726" s="7" t="s">
        <v>18</v>
      </c>
      <c r="F726" s="9">
        <v>329.82</v>
      </c>
      <c r="G726" s="9">
        <v>69.84</v>
      </c>
      <c r="H726" s="7">
        <v>2</v>
      </c>
      <c r="I726" s="10">
        <f t="shared" si="22"/>
        <v>0.21175186465344734</v>
      </c>
      <c r="J726" s="7" t="str">
        <f t="shared" si="23"/>
        <v>Low</v>
      </c>
    </row>
    <row r="727" spans="1:10" x14ac:dyDescent="0.3">
      <c r="A727" s="7" t="s">
        <v>1035</v>
      </c>
      <c r="B727" s="8" t="s">
        <v>1033</v>
      </c>
      <c r="C727" s="7" t="s">
        <v>22</v>
      </c>
      <c r="D727" s="7" t="s">
        <v>79</v>
      </c>
      <c r="E727" s="7" t="s">
        <v>14</v>
      </c>
      <c r="F727" s="9">
        <v>157.34</v>
      </c>
      <c r="G727" s="9">
        <v>66.98</v>
      </c>
      <c r="H727" s="7">
        <v>1</v>
      </c>
      <c r="I727" s="10">
        <f t="shared" si="22"/>
        <v>0.42570230074996823</v>
      </c>
      <c r="J727" s="7" t="str">
        <f t="shared" si="23"/>
        <v>Low</v>
      </c>
    </row>
    <row r="728" spans="1:10" x14ac:dyDescent="0.3">
      <c r="A728" s="7" t="s">
        <v>1036</v>
      </c>
      <c r="B728" s="8" t="s">
        <v>1037</v>
      </c>
      <c r="C728" s="7" t="s">
        <v>20</v>
      </c>
      <c r="D728" s="7" t="s">
        <v>254</v>
      </c>
      <c r="E728" s="7" t="s">
        <v>24</v>
      </c>
      <c r="F728" s="9">
        <v>40.86</v>
      </c>
      <c r="G728" s="9">
        <v>17.010000000000002</v>
      </c>
      <c r="H728" s="7">
        <v>2</v>
      </c>
      <c r="I728" s="10">
        <f t="shared" si="22"/>
        <v>0.41629955947136571</v>
      </c>
      <c r="J728" s="7" t="str">
        <f t="shared" si="23"/>
        <v>Low</v>
      </c>
    </row>
    <row r="729" spans="1:10" x14ac:dyDescent="0.3">
      <c r="A729" s="7" t="s">
        <v>1038</v>
      </c>
      <c r="B729" s="8" t="s">
        <v>1037</v>
      </c>
      <c r="C729" s="7" t="s">
        <v>20</v>
      </c>
      <c r="D729" s="7" t="s">
        <v>60</v>
      </c>
      <c r="E729" s="7" t="s">
        <v>28</v>
      </c>
      <c r="F729" s="9">
        <v>378.74</v>
      </c>
      <c r="G729" s="9">
        <v>155.29</v>
      </c>
      <c r="H729" s="7">
        <v>1</v>
      </c>
      <c r="I729" s="10">
        <f t="shared" si="22"/>
        <v>0.41001742620267201</v>
      </c>
      <c r="J729" s="7" t="str">
        <f t="shared" si="23"/>
        <v>Low</v>
      </c>
    </row>
    <row r="730" spans="1:10" x14ac:dyDescent="0.3">
      <c r="A730" s="7" t="s">
        <v>1039</v>
      </c>
      <c r="B730" s="8" t="s">
        <v>1037</v>
      </c>
      <c r="C730" s="7" t="s">
        <v>22</v>
      </c>
      <c r="D730" s="7" t="s">
        <v>34</v>
      </c>
      <c r="E730" s="7" t="s">
        <v>24</v>
      </c>
      <c r="F730" s="9">
        <v>1080.93</v>
      </c>
      <c r="G730" s="9">
        <v>242.94</v>
      </c>
      <c r="H730" s="7">
        <v>3</v>
      </c>
      <c r="I730" s="10">
        <f t="shared" si="22"/>
        <v>0.22475090893952429</v>
      </c>
      <c r="J730" s="7" t="str">
        <f t="shared" si="23"/>
        <v>Low</v>
      </c>
    </row>
    <row r="731" spans="1:10" x14ac:dyDescent="0.3">
      <c r="A731" s="7" t="s">
        <v>1040</v>
      </c>
      <c r="B731" s="8" t="s">
        <v>1037</v>
      </c>
      <c r="C731" s="7" t="s">
        <v>32</v>
      </c>
      <c r="D731" s="7" t="s">
        <v>13</v>
      </c>
      <c r="E731" s="7" t="s">
        <v>14</v>
      </c>
      <c r="F731" s="9">
        <v>776.68</v>
      </c>
      <c r="G731" s="9">
        <v>230.2</v>
      </c>
      <c r="H731" s="7">
        <v>2</v>
      </c>
      <c r="I731" s="10">
        <f t="shared" si="22"/>
        <v>0.29638976154915797</v>
      </c>
      <c r="J731" s="7" t="str">
        <f t="shared" si="23"/>
        <v>Low</v>
      </c>
    </row>
    <row r="732" spans="1:10" x14ac:dyDescent="0.3">
      <c r="A732" s="7" t="s">
        <v>1041</v>
      </c>
      <c r="B732" s="8" t="s">
        <v>1037</v>
      </c>
      <c r="C732" s="7" t="s">
        <v>12</v>
      </c>
      <c r="D732" s="7" t="s">
        <v>27</v>
      </c>
      <c r="E732" s="7" t="s">
        <v>28</v>
      </c>
      <c r="F732" s="9">
        <v>324.10000000000002</v>
      </c>
      <c r="G732" s="9">
        <v>67.510000000000005</v>
      </c>
      <c r="H732" s="7">
        <v>1</v>
      </c>
      <c r="I732" s="10">
        <f t="shared" si="22"/>
        <v>0.20829990743597654</v>
      </c>
      <c r="J732" s="7" t="str">
        <f t="shared" si="23"/>
        <v>Low</v>
      </c>
    </row>
    <row r="733" spans="1:10" x14ac:dyDescent="0.3">
      <c r="A733" s="7" t="s">
        <v>1042</v>
      </c>
      <c r="B733" s="8" t="s">
        <v>1043</v>
      </c>
      <c r="C733" s="7" t="s">
        <v>22</v>
      </c>
      <c r="D733" s="7" t="s">
        <v>57</v>
      </c>
      <c r="E733" s="7" t="s">
        <v>18</v>
      </c>
      <c r="F733" s="9">
        <v>536.01</v>
      </c>
      <c r="G733" s="9">
        <v>142.54</v>
      </c>
      <c r="H733" s="7">
        <v>3</v>
      </c>
      <c r="I733" s="10">
        <f t="shared" si="22"/>
        <v>0.2659278744799537</v>
      </c>
      <c r="J733" s="7" t="str">
        <f t="shared" si="23"/>
        <v>Low</v>
      </c>
    </row>
    <row r="734" spans="1:10" x14ac:dyDescent="0.3">
      <c r="A734" s="7" t="s">
        <v>1044</v>
      </c>
      <c r="B734" s="8" t="s">
        <v>1043</v>
      </c>
      <c r="C734" s="7" t="s">
        <v>20</v>
      </c>
      <c r="D734" s="7" t="s">
        <v>89</v>
      </c>
      <c r="E734" s="7" t="s">
        <v>24</v>
      </c>
      <c r="F734" s="9">
        <v>274.45999999999998</v>
      </c>
      <c r="G734" s="9">
        <v>56.52</v>
      </c>
      <c r="H734" s="7">
        <v>1</v>
      </c>
      <c r="I734" s="10">
        <f t="shared" si="22"/>
        <v>0.20593164759892155</v>
      </c>
      <c r="J734" s="7" t="str">
        <f t="shared" si="23"/>
        <v>Low</v>
      </c>
    </row>
    <row r="735" spans="1:10" x14ac:dyDescent="0.3">
      <c r="A735" s="7" t="s">
        <v>1045</v>
      </c>
      <c r="B735" s="8" t="s">
        <v>1046</v>
      </c>
      <c r="C735" s="7" t="s">
        <v>32</v>
      </c>
      <c r="D735" s="7" t="s">
        <v>43</v>
      </c>
      <c r="E735" s="7" t="s">
        <v>24</v>
      </c>
      <c r="F735" s="9">
        <v>107.18</v>
      </c>
      <c r="G735" s="9">
        <v>28.19</v>
      </c>
      <c r="H735" s="7">
        <v>1</v>
      </c>
      <c r="I735" s="10">
        <f t="shared" si="22"/>
        <v>0.2630154879641724</v>
      </c>
      <c r="J735" s="7" t="str">
        <f t="shared" si="23"/>
        <v>Low</v>
      </c>
    </row>
    <row r="736" spans="1:10" x14ac:dyDescent="0.3">
      <c r="A736" s="7" t="s">
        <v>1047</v>
      </c>
      <c r="B736" s="8" t="s">
        <v>1046</v>
      </c>
      <c r="C736" s="7" t="s">
        <v>20</v>
      </c>
      <c r="D736" s="7" t="s">
        <v>54</v>
      </c>
      <c r="E736" s="7" t="s">
        <v>28</v>
      </c>
      <c r="F736" s="9">
        <v>135.44</v>
      </c>
      <c r="G736" s="9">
        <v>59.46</v>
      </c>
      <c r="H736" s="7">
        <v>1</v>
      </c>
      <c r="I736" s="10">
        <f t="shared" si="22"/>
        <v>0.43901358535144713</v>
      </c>
      <c r="J736" s="7" t="str">
        <f t="shared" si="23"/>
        <v>Low</v>
      </c>
    </row>
    <row r="737" spans="1:10" x14ac:dyDescent="0.3">
      <c r="A737" s="7" t="s">
        <v>1048</v>
      </c>
      <c r="B737" s="8" t="s">
        <v>1046</v>
      </c>
      <c r="C737" s="7" t="s">
        <v>12</v>
      </c>
      <c r="D737" s="7" t="s">
        <v>23</v>
      </c>
      <c r="E737" s="7" t="s">
        <v>24</v>
      </c>
      <c r="F737" s="9">
        <v>205.3</v>
      </c>
      <c r="G737" s="9">
        <v>58.53</v>
      </c>
      <c r="H737" s="7">
        <v>2</v>
      </c>
      <c r="I737" s="10">
        <f t="shared" si="22"/>
        <v>0.28509498295177788</v>
      </c>
      <c r="J737" s="7" t="str">
        <f t="shared" si="23"/>
        <v>Low</v>
      </c>
    </row>
    <row r="738" spans="1:10" x14ac:dyDescent="0.3">
      <c r="A738" s="7" t="s">
        <v>1049</v>
      </c>
      <c r="B738" s="8" t="s">
        <v>1050</v>
      </c>
      <c r="C738" s="7" t="s">
        <v>20</v>
      </c>
      <c r="D738" s="7" t="s">
        <v>34</v>
      </c>
      <c r="E738" s="7" t="s">
        <v>24</v>
      </c>
      <c r="F738" s="9">
        <v>711.52</v>
      </c>
      <c r="G738" s="9">
        <v>151.65</v>
      </c>
      <c r="H738" s="7">
        <v>2</v>
      </c>
      <c r="I738" s="10">
        <f t="shared" si="22"/>
        <v>0.21313525972565775</v>
      </c>
      <c r="J738" s="7" t="str">
        <f t="shared" si="23"/>
        <v>Low</v>
      </c>
    </row>
    <row r="739" spans="1:10" x14ac:dyDescent="0.3">
      <c r="A739" s="7" t="s">
        <v>1051</v>
      </c>
      <c r="B739" s="8" t="s">
        <v>1050</v>
      </c>
      <c r="C739" s="7" t="s">
        <v>22</v>
      </c>
      <c r="D739" s="7" t="s">
        <v>85</v>
      </c>
      <c r="E739" s="7" t="s">
        <v>24</v>
      </c>
      <c r="F739" s="9">
        <v>367.83</v>
      </c>
      <c r="G739" s="9">
        <v>161.6</v>
      </c>
      <c r="H739" s="7">
        <v>1</v>
      </c>
      <c r="I739" s="10">
        <f t="shared" si="22"/>
        <v>0.43933338770627733</v>
      </c>
      <c r="J739" s="7" t="str">
        <f t="shared" si="23"/>
        <v>Low</v>
      </c>
    </row>
    <row r="740" spans="1:10" x14ac:dyDescent="0.3">
      <c r="A740" s="7" t="s">
        <v>1052</v>
      </c>
      <c r="B740" s="8" t="s">
        <v>1053</v>
      </c>
      <c r="C740" s="7" t="s">
        <v>12</v>
      </c>
      <c r="D740" s="7" t="s">
        <v>23</v>
      </c>
      <c r="E740" s="7" t="s">
        <v>24</v>
      </c>
      <c r="F740" s="9">
        <v>437.6</v>
      </c>
      <c r="G740" s="9">
        <v>150.69</v>
      </c>
      <c r="H740" s="7">
        <v>4</v>
      </c>
      <c r="I740" s="10">
        <f t="shared" si="22"/>
        <v>0.3443555758683729</v>
      </c>
      <c r="J740" s="7" t="str">
        <f t="shared" si="23"/>
        <v>Low</v>
      </c>
    </row>
    <row r="741" spans="1:10" x14ac:dyDescent="0.3">
      <c r="A741" s="7" t="s">
        <v>1054</v>
      </c>
      <c r="B741" s="8" t="s">
        <v>1053</v>
      </c>
      <c r="C741" s="7" t="s">
        <v>12</v>
      </c>
      <c r="D741" s="7" t="s">
        <v>50</v>
      </c>
      <c r="E741" s="7" t="s">
        <v>14</v>
      </c>
      <c r="F741" s="9">
        <v>50.66</v>
      </c>
      <c r="G741" s="9">
        <v>22.66</v>
      </c>
      <c r="H741" s="7">
        <v>1</v>
      </c>
      <c r="I741" s="10">
        <f t="shared" si="22"/>
        <v>0.44729569680221087</v>
      </c>
      <c r="J741" s="7" t="str">
        <f t="shared" si="23"/>
        <v>Low</v>
      </c>
    </row>
    <row r="742" spans="1:10" x14ac:dyDescent="0.3">
      <c r="A742" s="7" t="s">
        <v>1055</v>
      </c>
      <c r="B742" s="8" t="s">
        <v>1056</v>
      </c>
      <c r="C742" s="7" t="s">
        <v>22</v>
      </c>
      <c r="D742" s="7" t="s">
        <v>254</v>
      </c>
      <c r="E742" s="7" t="s">
        <v>24</v>
      </c>
      <c r="F742" s="9">
        <v>37.520000000000003</v>
      </c>
      <c r="G742" s="9">
        <v>13.48</v>
      </c>
      <c r="H742" s="7">
        <v>2</v>
      </c>
      <c r="I742" s="10">
        <f t="shared" si="22"/>
        <v>0.35927505330490406</v>
      </c>
      <c r="J742" s="7" t="str">
        <f t="shared" si="23"/>
        <v>Low</v>
      </c>
    </row>
    <row r="743" spans="1:10" x14ac:dyDescent="0.3">
      <c r="A743" s="7" t="s">
        <v>1057</v>
      </c>
      <c r="B743" s="8" t="s">
        <v>1056</v>
      </c>
      <c r="C743" s="7" t="s">
        <v>32</v>
      </c>
      <c r="D743" s="7" t="s">
        <v>27</v>
      </c>
      <c r="E743" s="7" t="s">
        <v>28</v>
      </c>
      <c r="F743" s="9">
        <v>1254</v>
      </c>
      <c r="G743" s="9">
        <v>253.52</v>
      </c>
      <c r="H743" s="7">
        <v>4</v>
      </c>
      <c r="I743" s="10">
        <f t="shared" si="22"/>
        <v>0.20216905901116428</v>
      </c>
      <c r="J743" s="7" t="str">
        <f t="shared" si="23"/>
        <v>Low</v>
      </c>
    </row>
    <row r="744" spans="1:10" x14ac:dyDescent="0.3">
      <c r="A744" s="7" t="s">
        <v>1058</v>
      </c>
      <c r="B744" s="8" t="s">
        <v>1056</v>
      </c>
      <c r="C744" s="7" t="s">
        <v>32</v>
      </c>
      <c r="D744" s="7" t="s">
        <v>63</v>
      </c>
      <c r="E744" s="7" t="s">
        <v>28</v>
      </c>
      <c r="F744" s="9">
        <v>382.54</v>
      </c>
      <c r="G744" s="9">
        <v>156.69999999999999</v>
      </c>
      <c r="H744" s="7">
        <v>2</v>
      </c>
      <c r="I744" s="10">
        <f t="shared" si="22"/>
        <v>0.40963036545197884</v>
      </c>
      <c r="J744" s="7" t="str">
        <f t="shared" si="23"/>
        <v>Low</v>
      </c>
    </row>
    <row r="745" spans="1:10" x14ac:dyDescent="0.3">
      <c r="A745" s="7" t="s">
        <v>1059</v>
      </c>
      <c r="B745" s="8" t="s">
        <v>1060</v>
      </c>
      <c r="C745" s="7" t="s">
        <v>12</v>
      </c>
      <c r="D745" s="7" t="s">
        <v>74</v>
      </c>
      <c r="E745" s="7" t="s">
        <v>18</v>
      </c>
      <c r="F745" s="9">
        <v>990.16</v>
      </c>
      <c r="G745" s="9">
        <v>133.9</v>
      </c>
      <c r="H745" s="7">
        <v>4</v>
      </c>
      <c r="I745" s="10">
        <f t="shared" si="22"/>
        <v>0.13523066979074089</v>
      </c>
      <c r="J745" s="7" t="str">
        <f t="shared" si="23"/>
        <v>Low</v>
      </c>
    </row>
    <row r="746" spans="1:10" x14ac:dyDescent="0.3">
      <c r="A746" s="7" t="s">
        <v>1061</v>
      </c>
      <c r="B746" s="8" t="s">
        <v>1060</v>
      </c>
      <c r="C746" s="7" t="s">
        <v>12</v>
      </c>
      <c r="D746" s="7" t="s">
        <v>50</v>
      </c>
      <c r="E746" s="7" t="s">
        <v>14</v>
      </c>
      <c r="F746" s="9">
        <v>153.09</v>
      </c>
      <c r="G746" s="9">
        <v>64.680000000000007</v>
      </c>
      <c r="H746" s="7">
        <v>3</v>
      </c>
      <c r="I746" s="10">
        <f t="shared" si="22"/>
        <v>0.42249657064471885</v>
      </c>
      <c r="J746" s="7" t="str">
        <f t="shared" si="23"/>
        <v>Low</v>
      </c>
    </row>
    <row r="747" spans="1:10" x14ac:dyDescent="0.3">
      <c r="A747" s="7" t="s">
        <v>1062</v>
      </c>
      <c r="B747" s="8" t="s">
        <v>1060</v>
      </c>
      <c r="C747" s="7" t="s">
        <v>22</v>
      </c>
      <c r="D747" s="7" t="s">
        <v>50</v>
      </c>
      <c r="E747" s="7" t="s">
        <v>14</v>
      </c>
      <c r="F747" s="9">
        <v>101.2</v>
      </c>
      <c r="G747" s="9">
        <v>42.37</v>
      </c>
      <c r="H747" s="7">
        <v>2</v>
      </c>
      <c r="I747" s="10">
        <f t="shared" si="22"/>
        <v>0.41867588932806321</v>
      </c>
      <c r="J747" s="7" t="str">
        <f t="shared" si="23"/>
        <v>Low</v>
      </c>
    </row>
    <row r="748" spans="1:10" x14ac:dyDescent="0.3">
      <c r="A748" s="7" t="s">
        <v>1063</v>
      </c>
      <c r="B748" s="8" t="s">
        <v>1060</v>
      </c>
      <c r="C748" s="7" t="s">
        <v>20</v>
      </c>
      <c r="D748" s="7" t="s">
        <v>13</v>
      </c>
      <c r="E748" s="7" t="s">
        <v>14</v>
      </c>
      <c r="F748" s="9">
        <v>1191.1199999999999</v>
      </c>
      <c r="G748" s="9">
        <v>392.33</v>
      </c>
      <c r="H748" s="7">
        <v>3</v>
      </c>
      <c r="I748" s="10">
        <f t="shared" si="22"/>
        <v>0.32937907179797166</v>
      </c>
      <c r="J748" s="7" t="str">
        <f t="shared" si="23"/>
        <v>Low</v>
      </c>
    </row>
    <row r="749" spans="1:10" x14ac:dyDescent="0.3">
      <c r="A749" s="7" t="s">
        <v>1064</v>
      </c>
      <c r="B749" s="8" t="s">
        <v>1060</v>
      </c>
      <c r="C749" s="7" t="s">
        <v>32</v>
      </c>
      <c r="D749" s="7" t="s">
        <v>38</v>
      </c>
      <c r="E749" s="7" t="s">
        <v>18</v>
      </c>
      <c r="F749" s="9">
        <v>1157.73</v>
      </c>
      <c r="G749" s="9">
        <v>304.83999999999997</v>
      </c>
      <c r="H749" s="7">
        <v>3</v>
      </c>
      <c r="I749" s="10">
        <f t="shared" si="22"/>
        <v>0.263308370690921</v>
      </c>
      <c r="J749" s="7" t="str">
        <f t="shared" si="23"/>
        <v>Low</v>
      </c>
    </row>
    <row r="750" spans="1:10" x14ac:dyDescent="0.3">
      <c r="A750" s="7" t="s">
        <v>1065</v>
      </c>
      <c r="B750" s="8" t="s">
        <v>1066</v>
      </c>
      <c r="C750" s="7" t="s">
        <v>20</v>
      </c>
      <c r="D750" s="7" t="s">
        <v>17</v>
      </c>
      <c r="E750" s="7" t="s">
        <v>18</v>
      </c>
      <c r="F750" s="9">
        <v>730.14</v>
      </c>
      <c r="G750" s="9">
        <v>183.78</v>
      </c>
      <c r="H750" s="7">
        <v>2</v>
      </c>
      <c r="I750" s="10">
        <f t="shared" si="22"/>
        <v>0.25170515243651903</v>
      </c>
      <c r="J750" s="7" t="str">
        <f t="shared" si="23"/>
        <v>Low</v>
      </c>
    </row>
    <row r="751" spans="1:10" x14ac:dyDescent="0.3">
      <c r="A751" s="7" t="s">
        <v>1067</v>
      </c>
      <c r="B751" s="8" t="s">
        <v>1066</v>
      </c>
      <c r="C751" s="7" t="s">
        <v>22</v>
      </c>
      <c r="D751" s="7" t="s">
        <v>34</v>
      </c>
      <c r="E751" s="7" t="s">
        <v>24</v>
      </c>
      <c r="F751" s="9">
        <v>695.82</v>
      </c>
      <c r="G751" s="9">
        <v>166.21</v>
      </c>
      <c r="H751" s="7">
        <v>2</v>
      </c>
      <c r="I751" s="10">
        <f t="shared" si="22"/>
        <v>0.2388692477939697</v>
      </c>
      <c r="J751" s="7" t="str">
        <f t="shared" si="23"/>
        <v>Low</v>
      </c>
    </row>
    <row r="752" spans="1:10" x14ac:dyDescent="0.3">
      <c r="A752" s="7" t="s">
        <v>1068</v>
      </c>
      <c r="B752" s="8" t="s">
        <v>1066</v>
      </c>
      <c r="C752" s="7" t="s">
        <v>22</v>
      </c>
      <c r="D752" s="7" t="s">
        <v>63</v>
      </c>
      <c r="E752" s="7" t="s">
        <v>28</v>
      </c>
      <c r="F752" s="9">
        <v>404.6</v>
      </c>
      <c r="G752" s="9">
        <v>192.98</v>
      </c>
      <c r="H752" s="7">
        <v>2</v>
      </c>
      <c r="I752" s="10">
        <f t="shared" si="22"/>
        <v>0.47696490360850219</v>
      </c>
      <c r="J752" s="7" t="str">
        <f t="shared" si="23"/>
        <v>Low</v>
      </c>
    </row>
    <row r="753" spans="1:10" x14ac:dyDescent="0.3">
      <c r="A753" s="7" t="s">
        <v>1069</v>
      </c>
      <c r="B753" s="8" t="s">
        <v>1066</v>
      </c>
      <c r="C753" s="7" t="s">
        <v>20</v>
      </c>
      <c r="D753" s="7" t="s">
        <v>38</v>
      </c>
      <c r="E753" s="7" t="s">
        <v>18</v>
      </c>
      <c r="F753" s="9">
        <v>359.82</v>
      </c>
      <c r="G753" s="9">
        <v>90.67</v>
      </c>
      <c r="H753" s="7">
        <v>1</v>
      </c>
      <c r="I753" s="10">
        <f t="shared" si="22"/>
        <v>0.25198710466344282</v>
      </c>
      <c r="J753" s="7" t="str">
        <f t="shared" si="23"/>
        <v>Low</v>
      </c>
    </row>
    <row r="754" spans="1:10" x14ac:dyDescent="0.3">
      <c r="A754" s="7" t="s">
        <v>1070</v>
      </c>
      <c r="B754" s="8" t="s">
        <v>1071</v>
      </c>
      <c r="C754" s="7" t="s">
        <v>32</v>
      </c>
      <c r="D754" s="7" t="s">
        <v>43</v>
      </c>
      <c r="E754" s="7" t="s">
        <v>24</v>
      </c>
      <c r="F754" s="9">
        <v>602.04</v>
      </c>
      <c r="G754" s="9">
        <v>143.91999999999999</v>
      </c>
      <c r="H754" s="7">
        <v>6</v>
      </c>
      <c r="I754" s="10">
        <f t="shared" si="22"/>
        <v>0.23905388346289283</v>
      </c>
      <c r="J754" s="7" t="str">
        <f t="shared" si="23"/>
        <v>Low</v>
      </c>
    </row>
    <row r="755" spans="1:10" x14ac:dyDescent="0.3">
      <c r="A755" s="7" t="s">
        <v>1072</v>
      </c>
      <c r="B755" s="8" t="s">
        <v>1071</v>
      </c>
      <c r="C755" s="7" t="s">
        <v>32</v>
      </c>
      <c r="D755" s="7" t="s">
        <v>89</v>
      </c>
      <c r="E755" s="7" t="s">
        <v>24</v>
      </c>
      <c r="F755" s="9">
        <v>305.33</v>
      </c>
      <c r="G755" s="9">
        <v>85.26</v>
      </c>
      <c r="H755" s="7">
        <v>1</v>
      </c>
      <c r="I755" s="10">
        <f t="shared" si="22"/>
        <v>0.27923885631939216</v>
      </c>
      <c r="J755" s="7" t="str">
        <f t="shared" si="23"/>
        <v>Low</v>
      </c>
    </row>
    <row r="756" spans="1:10" x14ac:dyDescent="0.3">
      <c r="A756" s="7" t="s">
        <v>1073</v>
      </c>
      <c r="B756" s="8" t="s">
        <v>1071</v>
      </c>
      <c r="C756" s="7" t="s">
        <v>12</v>
      </c>
      <c r="D756" s="7" t="s">
        <v>54</v>
      </c>
      <c r="E756" s="7" t="s">
        <v>28</v>
      </c>
      <c r="F756" s="9">
        <v>269.32</v>
      </c>
      <c r="G756" s="9">
        <v>106.18</v>
      </c>
      <c r="H756" s="7">
        <v>2</v>
      </c>
      <c r="I756" s="10">
        <f t="shared" si="22"/>
        <v>0.39425219070251005</v>
      </c>
      <c r="J756" s="7" t="str">
        <f t="shared" si="23"/>
        <v>Low</v>
      </c>
    </row>
    <row r="757" spans="1:10" x14ac:dyDescent="0.3">
      <c r="A757" s="7" t="s">
        <v>1074</v>
      </c>
      <c r="B757" s="8" t="s">
        <v>1071</v>
      </c>
      <c r="C757" s="7" t="s">
        <v>20</v>
      </c>
      <c r="D757" s="7" t="s">
        <v>57</v>
      </c>
      <c r="E757" s="7" t="s">
        <v>18</v>
      </c>
      <c r="F757" s="9">
        <v>163.51</v>
      </c>
      <c r="G757" s="9">
        <v>42.72</v>
      </c>
      <c r="H757" s="7">
        <v>1</v>
      </c>
      <c r="I757" s="10">
        <f t="shared" si="22"/>
        <v>0.26126842394960553</v>
      </c>
      <c r="J757" s="7" t="str">
        <f t="shared" si="23"/>
        <v>Low</v>
      </c>
    </row>
    <row r="758" spans="1:10" x14ac:dyDescent="0.3">
      <c r="A758" s="7" t="s">
        <v>1075</v>
      </c>
      <c r="B758" s="8" t="s">
        <v>1071</v>
      </c>
      <c r="C758" s="7" t="s">
        <v>22</v>
      </c>
      <c r="D758" s="7" t="s">
        <v>57</v>
      </c>
      <c r="E758" s="7" t="s">
        <v>18</v>
      </c>
      <c r="F758" s="9">
        <v>727</v>
      </c>
      <c r="G758" s="9">
        <v>225.77</v>
      </c>
      <c r="H758" s="7">
        <v>4</v>
      </c>
      <c r="I758" s="10">
        <f t="shared" si="22"/>
        <v>0.31055020632737279</v>
      </c>
      <c r="J758" s="7" t="str">
        <f t="shared" si="23"/>
        <v>Low</v>
      </c>
    </row>
    <row r="759" spans="1:10" x14ac:dyDescent="0.3">
      <c r="A759" s="7" t="s">
        <v>1076</v>
      </c>
      <c r="B759" s="8" t="s">
        <v>1071</v>
      </c>
      <c r="C759" s="7" t="s">
        <v>12</v>
      </c>
      <c r="D759" s="7" t="s">
        <v>17</v>
      </c>
      <c r="E759" s="7" t="s">
        <v>18</v>
      </c>
      <c r="F759" s="9">
        <v>3671.1</v>
      </c>
      <c r="G759" s="9">
        <v>975.84</v>
      </c>
      <c r="H759" s="7">
        <v>10</v>
      </c>
      <c r="I759" s="10">
        <f t="shared" si="22"/>
        <v>0.26581678515976137</v>
      </c>
      <c r="J759" s="7" t="str">
        <f t="shared" si="23"/>
        <v>Medium</v>
      </c>
    </row>
    <row r="760" spans="1:10" x14ac:dyDescent="0.3">
      <c r="A760" s="7" t="s">
        <v>1077</v>
      </c>
      <c r="B760" s="8" t="s">
        <v>1078</v>
      </c>
      <c r="C760" s="7" t="s">
        <v>12</v>
      </c>
      <c r="D760" s="7" t="s">
        <v>63</v>
      </c>
      <c r="E760" s="7" t="s">
        <v>28</v>
      </c>
      <c r="F760" s="9">
        <v>193.17</v>
      </c>
      <c r="G760" s="9">
        <v>83.26</v>
      </c>
      <c r="H760" s="7">
        <v>1</v>
      </c>
      <c r="I760" s="10">
        <f t="shared" si="22"/>
        <v>0.43101930941657612</v>
      </c>
      <c r="J760" s="7" t="str">
        <f t="shared" si="23"/>
        <v>Low</v>
      </c>
    </row>
    <row r="761" spans="1:10" x14ac:dyDescent="0.3">
      <c r="A761" s="7" t="s">
        <v>1079</v>
      </c>
      <c r="B761" s="8" t="s">
        <v>1078</v>
      </c>
      <c r="C761" s="7" t="s">
        <v>22</v>
      </c>
      <c r="D761" s="7" t="s">
        <v>254</v>
      </c>
      <c r="E761" s="7" t="s">
        <v>24</v>
      </c>
      <c r="F761" s="9">
        <v>96.65</v>
      </c>
      <c r="G761" s="9">
        <v>37.68</v>
      </c>
      <c r="H761" s="7">
        <v>5</v>
      </c>
      <c r="I761" s="10">
        <f t="shared" si="22"/>
        <v>0.38986032074495602</v>
      </c>
      <c r="J761" s="7" t="str">
        <f t="shared" si="23"/>
        <v>Low</v>
      </c>
    </row>
    <row r="762" spans="1:10" x14ac:dyDescent="0.3">
      <c r="A762" s="7" t="s">
        <v>1080</v>
      </c>
      <c r="B762" s="8" t="s">
        <v>1078</v>
      </c>
      <c r="C762" s="7" t="s">
        <v>20</v>
      </c>
      <c r="D762" s="7" t="s">
        <v>57</v>
      </c>
      <c r="E762" s="7" t="s">
        <v>18</v>
      </c>
      <c r="F762" s="9">
        <v>347.62</v>
      </c>
      <c r="G762" s="9">
        <v>101.96</v>
      </c>
      <c r="H762" s="7">
        <v>2</v>
      </c>
      <c r="I762" s="10">
        <f t="shared" si="22"/>
        <v>0.2933087854553823</v>
      </c>
      <c r="J762" s="7" t="str">
        <f t="shared" si="23"/>
        <v>Low</v>
      </c>
    </row>
    <row r="763" spans="1:10" x14ac:dyDescent="0.3">
      <c r="A763" s="7" t="s">
        <v>1081</v>
      </c>
      <c r="B763" s="8" t="s">
        <v>1078</v>
      </c>
      <c r="C763" s="7" t="s">
        <v>22</v>
      </c>
      <c r="D763" s="7" t="s">
        <v>85</v>
      </c>
      <c r="E763" s="7" t="s">
        <v>24</v>
      </c>
      <c r="F763" s="9">
        <v>747.12</v>
      </c>
      <c r="G763" s="9">
        <v>334.27</v>
      </c>
      <c r="H763" s="7">
        <v>2</v>
      </c>
      <c r="I763" s="10">
        <f t="shared" si="22"/>
        <v>0.44741139308277117</v>
      </c>
      <c r="J763" s="7" t="str">
        <f t="shared" si="23"/>
        <v>Low</v>
      </c>
    </row>
    <row r="764" spans="1:10" x14ac:dyDescent="0.3">
      <c r="A764" s="7" t="s">
        <v>1082</v>
      </c>
      <c r="B764" s="8" t="s">
        <v>1083</v>
      </c>
      <c r="C764" s="7" t="s">
        <v>32</v>
      </c>
      <c r="D764" s="7" t="s">
        <v>13</v>
      </c>
      <c r="E764" s="7" t="s">
        <v>14</v>
      </c>
      <c r="F764" s="9">
        <v>1138.02</v>
      </c>
      <c r="G764" s="9">
        <v>332.87</v>
      </c>
      <c r="H764" s="7">
        <v>3</v>
      </c>
      <c r="I764" s="10">
        <f t="shared" si="22"/>
        <v>0.2924992530886979</v>
      </c>
      <c r="J764" s="7" t="str">
        <f t="shared" si="23"/>
        <v>Low</v>
      </c>
    </row>
    <row r="765" spans="1:10" x14ac:dyDescent="0.3">
      <c r="A765" s="7" t="s">
        <v>1084</v>
      </c>
      <c r="B765" s="8" t="s">
        <v>1083</v>
      </c>
      <c r="C765" s="7" t="s">
        <v>20</v>
      </c>
      <c r="D765" s="7" t="s">
        <v>63</v>
      </c>
      <c r="E765" s="7" t="s">
        <v>28</v>
      </c>
      <c r="F765" s="9">
        <v>369.5</v>
      </c>
      <c r="G765" s="9">
        <v>151.77000000000001</v>
      </c>
      <c r="H765" s="7">
        <v>2</v>
      </c>
      <c r="I765" s="10">
        <f t="shared" si="22"/>
        <v>0.41074424898511502</v>
      </c>
      <c r="J765" s="7" t="str">
        <f t="shared" si="23"/>
        <v>Low</v>
      </c>
    </row>
    <row r="766" spans="1:10" x14ac:dyDescent="0.3">
      <c r="A766" s="7" t="s">
        <v>1085</v>
      </c>
      <c r="B766" s="8" t="s">
        <v>1083</v>
      </c>
      <c r="C766" s="7" t="s">
        <v>12</v>
      </c>
      <c r="D766" s="7" t="s">
        <v>254</v>
      </c>
      <c r="E766" s="7" t="s">
        <v>24</v>
      </c>
      <c r="F766" s="9">
        <v>147.6</v>
      </c>
      <c r="G766" s="9">
        <v>46.57</v>
      </c>
      <c r="H766" s="7">
        <v>8</v>
      </c>
      <c r="I766" s="10">
        <f t="shared" si="22"/>
        <v>0.31551490514905151</v>
      </c>
      <c r="J766" s="7" t="str">
        <f t="shared" si="23"/>
        <v>Low</v>
      </c>
    </row>
    <row r="767" spans="1:10" x14ac:dyDescent="0.3">
      <c r="A767" s="7" t="s">
        <v>1086</v>
      </c>
      <c r="B767" s="8" t="s">
        <v>1087</v>
      </c>
      <c r="C767" s="7" t="s">
        <v>12</v>
      </c>
      <c r="D767" s="7" t="s">
        <v>34</v>
      </c>
      <c r="E767" s="7" t="s">
        <v>24</v>
      </c>
      <c r="F767" s="9">
        <v>1114.98</v>
      </c>
      <c r="G767" s="9">
        <v>274.88</v>
      </c>
      <c r="H767" s="7">
        <v>3</v>
      </c>
      <c r="I767" s="10">
        <f t="shared" si="22"/>
        <v>0.24653357010888086</v>
      </c>
      <c r="J767" s="7" t="str">
        <f t="shared" si="23"/>
        <v>Low</v>
      </c>
    </row>
    <row r="768" spans="1:10" x14ac:dyDescent="0.3">
      <c r="A768" s="7" t="s">
        <v>1088</v>
      </c>
      <c r="B768" s="8" t="s">
        <v>1087</v>
      </c>
      <c r="C768" s="7" t="s">
        <v>12</v>
      </c>
      <c r="D768" s="7" t="s">
        <v>23</v>
      </c>
      <c r="E768" s="7" t="s">
        <v>24</v>
      </c>
      <c r="F768" s="9">
        <v>100.14</v>
      </c>
      <c r="G768" s="9">
        <v>25.54</v>
      </c>
      <c r="H768" s="7">
        <v>1</v>
      </c>
      <c r="I768" s="10">
        <f t="shared" si="22"/>
        <v>0.25504293988416216</v>
      </c>
      <c r="J768" s="7" t="str">
        <f t="shared" si="23"/>
        <v>Low</v>
      </c>
    </row>
    <row r="769" spans="1:10" x14ac:dyDescent="0.3">
      <c r="A769" s="7" t="s">
        <v>1089</v>
      </c>
      <c r="B769" s="8" t="s">
        <v>1087</v>
      </c>
      <c r="C769" s="7" t="s">
        <v>20</v>
      </c>
      <c r="D769" s="7" t="s">
        <v>74</v>
      </c>
      <c r="E769" s="7" t="s">
        <v>18</v>
      </c>
      <c r="F769" s="9">
        <v>1024.28</v>
      </c>
      <c r="G769" s="9">
        <v>224.74</v>
      </c>
      <c r="H769" s="7">
        <v>4</v>
      </c>
      <c r="I769" s="10">
        <f t="shared" si="22"/>
        <v>0.21941266060061704</v>
      </c>
      <c r="J769" s="7" t="str">
        <f t="shared" si="23"/>
        <v>Low</v>
      </c>
    </row>
    <row r="770" spans="1:10" x14ac:dyDescent="0.3">
      <c r="A770" s="7" t="s">
        <v>1090</v>
      </c>
      <c r="B770" s="8" t="s">
        <v>1087</v>
      </c>
      <c r="C770" s="7" t="s">
        <v>12</v>
      </c>
      <c r="D770" s="7" t="s">
        <v>54</v>
      </c>
      <c r="E770" s="7" t="s">
        <v>28</v>
      </c>
      <c r="F770" s="9">
        <v>125.8</v>
      </c>
      <c r="G770" s="9">
        <v>44.23</v>
      </c>
      <c r="H770" s="7">
        <v>1</v>
      </c>
      <c r="I770" s="10">
        <f t="shared" ref="I770:I833" si="24">IFERROR(G770/F770,0)</f>
        <v>0.35158982511923687</v>
      </c>
      <c r="J770" s="7" t="str">
        <f t="shared" ref="J770:J833" si="25">IF(F770&gt;5000,"High",IF(F770&gt;1500,"Medium","Low"))</f>
        <v>Low</v>
      </c>
    </row>
    <row r="771" spans="1:10" x14ac:dyDescent="0.3">
      <c r="A771" s="7" t="s">
        <v>1091</v>
      </c>
      <c r="B771" s="8" t="s">
        <v>1092</v>
      </c>
      <c r="C771" s="7" t="s">
        <v>20</v>
      </c>
      <c r="D771" s="7" t="s">
        <v>23</v>
      </c>
      <c r="E771" s="7" t="s">
        <v>24</v>
      </c>
      <c r="F771" s="9">
        <v>105.89</v>
      </c>
      <c r="G771" s="9">
        <v>28.87</v>
      </c>
      <c r="H771" s="7">
        <v>1</v>
      </c>
      <c r="I771" s="10">
        <f t="shared" si="24"/>
        <v>0.27264142034186423</v>
      </c>
      <c r="J771" s="7" t="str">
        <f t="shared" si="25"/>
        <v>Low</v>
      </c>
    </row>
    <row r="772" spans="1:10" x14ac:dyDescent="0.3">
      <c r="A772" s="7" t="s">
        <v>1093</v>
      </c>
      <c r="B772" s="8" t="s">
        <v>1092</v>
      </c>
      <c r="C772" s="7" t="s">
        <v>12</v>
      </c>
      <c r="D772" s="7" t="s">
        <v>50</v>
      </c>
      <c r="E772" s="7" t="s">
        <v>14</v>
      </c>
      <c r="F772" s="9">
        <v>99.8</v>
      </c>
      <c r="G772" s="9">
        <v>41.99</v>
      </c>
      <c r="H772" s="7">
        <v>2</v>
      </c>
      <c r="I772" s="10">
        <f t="shared" si="24"/>
        <v>0.42074148296593189</v>
      </c>
      <c r="J772" s="7" t="str">
        <f t="shared" si="25"/>
        <v>Low</v>
      </c>
    </row>
    <row r="773" spans="1:10" x14ac:dyDescent="0.3">
      <c r="A773" s="7" t="s">
        <v>1094</v>
      </c>
      <c r="B773" s="8" t="s">
        <v>1092</v>
      </c>
      <c r="C773" s="7" t="s">
        <v>22</v>
      </c>
      <c r="D773" s="7" t="s">
        <v>54</v>
      </c>
      <c r="E773" s="7" t="s">
        <v>28</v>
      </c>
      <c r="F773" s="9">
        <v>263.44</v>
      </c>
      <c r="G773" s="9">
        <v>97.33</v>
      </c>
      <c r="H773" s="7">
        <v>2</v>
      </c>
      <c r="I773" s="10">
        <f t="shared" si="24"/>
        <v>0.36945794108715457</v>
      </c>
      <c r="J773" s="7" t="str">
        <f t="shared" si="25"/>
        <v>Low</v>
      </c>
    </row>
    <row r="774" spans="1:10" x14ac:dyDescent="0.3">
      <c r="A774" s="7" t="s">
        <v>1095</v>
      </c>
      <c r="B774" s="8" t="s">
        <v>1092</v>
      </c>
      <c r="C774" s="7" t="s">
        <v>12</v>
      </c>
      <c r="D774" s="7" t="s">
        <v>89</v>
      </c>
      <c r="E774" s="7" t="s">
        <v>24</v>
      </c>
      <c r="F774" s="9">
        <v>593.38</v>
      </c>
      <c r="G774" s="9">
        <v>163.19999999999999</v>
      </c>
      <c r="H774" s="7">
        <v>2</v>
      </c>
      <c r="I774" s="10">
        <f t="shared" si="24"/>
        <v>0.27503454784455156</v>
      </c>
      <c r="J774" s="7" t="str">
        <f t="shared" si="25"/>
        <v>Low</v>
      </c>
    </row>
    <row r="775" spans="1:10" x14ac:dyDescent="0.3">
      <c r="A775" s="7" t="s">
        <v>1096</v>
      </c>
      <c r="B775" s="8" t="s">
        <v>1092</v>
      </c>
      <c r="C775" s="7" t="s">
        <v>20</v>
      </c>
      <c r="D775" s="7" t="s">
        <v>254</v>
      </c>
      <c r="E775" s="7" t="s">
        <v>24</v>
      </c>
      <c r="F775" s="9">
        <v>38.64</v>
      </c>
      <c r="G775" s="9">
        <v>15.41</v>
      </c>
      <c r="H775" s="7">
        <v>2</v>
      </c>
      <c r="I775" s="10">
        <f t="shared" si="24"/>
        <v>0.39880952380952378</v>
      </c>
      <c r="J775" s="7" t="str">
        <f t="shared" si="25"/>
        <v>Low</v>
      </c>
    </row>
    <row r="776" spans="1:10" x14ac:dyDescent="0.3">
      <c r="A776" s="7" t="s">
        <v>1097</v>
      </c>
      <c r="B776" s="8" t="s">
        <v>1098</v>
      </c>
      <c r="C776" s="7" t="s">
        <v>20</v>
      </c>
      <c r="D776" s="7" t="s">
        <v>112</v>
      </c>
      <c r="E776" s="7" t="s">
        <v>14</v>
      </c>
      <c r="F776" s="9">
        <v>1318.14</v>
      </c>
      <c r="G776" s="9">
        <v>463.63</v>
      </c>
      <c r="H776" s="7">
        <v>3</v>
      </c>
      <c r="I776" s="10">
        <f t="shared" si="24"/>
        <v>0.35173046869073082</v>
      </c>
      <c r="J776" s="7" t="str">
        <f t="shared" si="25"/>
        <v>Low</v>
      </c>
    </row>
    <row r="777" spans="1:10" x14ac:dyDescent="0.3">
      <c r="A777" s="7" t="s">
        <v>1099</v>
      </c>
      <c r="B777" s="8" t="s">
        <v>1098</v>
      </c>
      <c r="C777" s="7" t="s">
        <v>20</v>
      </c>
      <c r="D777" s="7" t="s">
        <v>63</v>
      </c>
      <c r="E777" s="7" t="s">
        <v>28</v>
      </c>
      <c r="F777" s="9">
        <v>989.8</v>
      </c>
      <c r="G777" s="9">
        <v>450.99</v>
      </c>
      <c r="H777" s="7">
        <v>5</v>
      </c>
      <c r="I777" s="10">
        <f t="shared" si="24"/>
        <v>0.45563750252576279</v>
      </c>
      <c r="J777" s="7" t="str">
        <f t="shared" si="25"/>
        <v>Low</v>
      </c>
    </row>
    <row r="778" spans="1:10" x14ac:dyDescent="0.3">
      <c r="A778" s="7" t="s">
        <v>1100</v>
      </c>
      <c r="B778" s="8" t="s">
        <v>1098</v>
      </c>
      <c r="C778" s="7" t="s">
        <v>22</v>
      </c>
      <c r="D778" s="7" t="s">
        <v>70</v>
      </c>
      <c r="E778" s="7" t="s">
        <v>14</v>
      </c>
      <c r="F778" s="9">
        <v>689</v>
      </c>
      <c r="G778" s="9">
        <v>102.94</v>
      </c>
      <c r="H778" s="7">
        <v>2</v>
      </c>
      <c r="I778" s="10">
        <f t="shared" si="24"/>
        <v>0.14940493468795354</v>
      </c>
      <c r="J778" s="7" t="str">
        <f t="shared" si="25"/>
        <v>Low</v>
      </c>
    </row>
    <row r="779" spans="1:10" x14ac:dyDescent="0.3">
      <c r="A779" s="7" t="s">
        <v>1101</v>
      </c>
      <c r="B779" s="8" t="s">
        <v>1098</v>
      </c>
      <c r="C779" s="7" t="s">
        <v>20</v>
      </c>
      <c r="D779" s="7" t="s">
        <v>23</v>
      </c>
      <c r="E779" s="7" t="s">
        <v>24</v>
      </c>
      <c r="F779" s="9">
        <v>108.06</v>
      </c>
      <c r="G779" s="9">
        <v>37.35</v>
      </c>
      <c r="H779" s="7">
        <v>1</v>
      </c>
      <c r="I779" s="10">
        <f t="shared" si="24"/>
        <v>0.34564131038312051</v>
      </c>
      <c r="J779" s="7" t="str">
        <f t="shared" si="25"/>
        <v>Low</v>
      </c>
    </row>
    <row r="780" spans="1:10" x14ac:dyDescent="0.3">
      <c r="A780" s="7" t="s">
        <v>1102</v>
      </c>
      <c r="B780" s="8" t="s">
        <v>1098</v>
      </c>
      <c r="C780" s="7" t="s">
        <v>32</v>
      </c>
      <c r="D780" s="7" t="s">
        <v>23</v>
      </c>
      <c r="E780" s="7" t="s">
        <v>24</v>
      </c>
      <c r="F780" s="9">
        <v>211.42</v>
      </c>
      <c r="G780" s="9">
        <v>67.2</v>
      </c>
      <c r="H780" s="7">
        <v>2</v>
      </c>
      <c r="I780" s="10">
        <f t="shared" si="24"/>
        <v>0.317850723677987</v>
      </c>
      <c r="J780" s="7" t="str">
        <f t="shared" si="25"/>
        <v>Low</v>
      </c>
    </row>
    <row r="781" spans="1:10" x14ac:dyDescent="0.3">
      <c r="A781" s="7" t="s">
        <v>1103</v>
      </c>
      <c r="B781" s="8" t="s">
        <v>1098</v>
      </c>
      <c r="C781" s="7" t="s">
        <v>32</v>
      </c>
      <c r="D781" s="7" t="s">
        <v>41</v>
      </c>
      <c r="E781" s="7" t="s">
        <v>28</v>
      </c>
      <c r="F781" s="9">
        <v>538.41999999999996</v>
      </c>
      <c r="G781" s="9">
        <v>200.26</v>
      </c>
      <c r="H781" s="7">
        <v>2</v>
      </c>
      <c r="I781" s="10">
        <f t="shared" si="24"/>
        <v>0.37194012109505592</v>
      </c>
      <c r="J781" s="7" t="str">
        <f t="shared" si="25"/>
        <v>Low</v>
      </c>
    </row>
    <row r="782" spans="1:10" x14ac:dyDescent="0.3">
      <c r="A782" s="7" t="s">
        <v>1104</v>
      </c>
      <c r="B782" s="8" t="s">
        <v>1105</v>
      </c>
      <c r="C782" s="7" t="s">
        <v>20</v>
      </c>
      <c r="D782" s="7" t="s">
        <v>70</v>
      </c>
      <c r="E782" s="7" t="s">
        <v>14</v>
      </c>
      <c r="F782" s="9">
        <v>344.44</v>
      </c>
      <c r="G782" s="9">
        <v>54.39</v>
      </c>
      <c r="H782" s="7">
        <v>1</v>
      </c>
      <c r="I782" s="10">
        <f t="shared" si="24"/>
        <v>0.15790848914179539</v>
      </c>
      <c r="J782" s="7" t="str">
        <f t="shared" si="25"/>
        <v>Low</v>
      </c>
    </row>
    <row r="783" spans="1:10" x14ac:dyDescent="0.3">
      <c r="A783" s="7" t="s">
        <v>1106</v>
      </c>
      <c r="B783" s="8" t="s">
        <v>1105</v>
      </c>
      <c r="C783" s="7" t="s">
        <v>20</v>
      </c>
      <c r="D783" s="7" t="s">
        <v>57</v>
      </c>
      <c r="E783" s="7" t="s">
        <v>18</v>
      </c>
      <c r="F783" s="9">
        <v>696.28</v>
      </c>
      <c r="G783" s="9">
        <v>213.94</v>
      </c>
      <c r="H783" s="7">
        <v>4</v>
      </c>
      <c r="I783" s="10">
        <f t="shared" si="24"/>
        <v>0.30726144654449361</v>
      </c>
      <c r="J783" s="7" t="str">
        <f t="shared" si="25"/>
        <v>Low</v>
      </c>
    </row>
    <row r="784" spans="1:10" x14ac:dyDescent="0.3">
      <c r="A784" s="7" t="s">
        <v>1107</v>
      </c>
      <c r="B784" s="8" t="s">
        <v>1105</v>
      </c>
      <c r="C784" s="7" t="s">
        <v>32</v>
      </c>
      <c r="D784" s="7" t="s">
        <v>254</v>
      </c>
      <c r="E784" s="7" t="s">
        <v>24</v>
      </c>
      <c r="F784" s="9">
        <v>19.239999999999998</v>
      </c>
      <c r="G784" s="9">
        <v>6.62</v>
      </c>
      <c r="H784" s="7">
        <v>1</v>
      </c>
      <c r="I784" s="10">
        <f t="shared" si="24"/>
        <v>0.34407484407484412</v>
      </c>
      <c r="J784" s="7" t="str">
        <f t="shared" si="25"/>
        <v>Low</v>
      </c>
    </row>
    <row r="785" spans="1:10" x14ac:dyDescent="0.3">
      <c r="A785" s="7" t="s">
        <v>1108</v>
      </c>
      <c r="B785" s="8" t="s">
        <v>1105</v>
      </c>
      <c r="C785" s="7" t="s">
        <v>12</v>
      </c>
      <c r="D785" s="7" t="s">
        <v>60</v>
      </c>
      <c r="E785" s="7" t="s">
        <v>28</v>
      </c>
      <c r="F785" s="9">
        <v>765.52</v>
      </c>
      <c r="G785" s="9">
        <v>296.41000000000003</v>
      </c>
      <c r="H785" s="7">
        <v>2</v>
      </c>
      <c r="I785" s="10">
        <f t="shared" si="24"/>
        <v>0.38720085693384892</v>
      </c>
      <c r="J785" s="7" t="str">
        <f t="shared" si="25"/>
        <v>Low</v>
      </c>
    </row>
    <row r="786" spans="1:10" x14ac:dyDescent="0.3">
      <c r="A786" s="7" t="s">
        <v>1109</v>
      </c>
      <c r="B786" s="8" t="s">
        <v>1110</v>
      </c>
      <c r="C786" s="7" t="s">
        <v>22</v>
      </c>
      <c r="D786" s="7" t="s">
        <v>60</v>
      </c>
      <c r="E786" s="7" t="s">
        <v>28</v>
      </c>
      <c r="F786" s="9">
        <v>843.04</v>
      </c>
      <c r="G786" s="9">
        <v>380.74</v>
      </c>
      <c r="H786" s="7">
        <v>2</v>
      </c>
      <c r="I786" s="10">
        <f t="shared" si="24"/>
        <v>0.4516274435376732</v>
      </c>
      <c r="J786" s="7" t="str">
        <f t="shared" si="25"/>
        <v>Low</v>
      </c>
    </row>
    <row r="787" spans="1:10" x14ac:dyDescent="0.3">
      <c r="A787" s="7" t="s">
        <v>1111</v>
      </c>
      <c r="B787" s="8" t="s">
        <v>1112</v>
      </c>
      <c r="C787" s="7" t="s">
        <v>20</v>
      </c>
      <c r="D787" s="7" t="s">
        <v>89</v>
      </c>
      <c r="E787" s="7" t="s">
        <v>24</v>
      </c>
      <c r="F787" s="9">
        <v>1437</v>
      </c>
      <c r="G787" s="9">
        <v>402.87</v>
      </c>
      <c r="H787" s="7">
        <v>5</v>
      </c>
      <c r="I787" s="10">
        <f t="shared" si="24"/>
        <v>0.28035490605427976</v>
      </c>
      <c r="J787" s="7" t="str">
        <f t="shared" si="25"/>
        <v>Low</v>
      </c>
    </row>
    <row r="788" spans="1:10" x14ac:dyDescent="0.3">
      <c r="A788" s="7" t="s">
        <v>1113</v>
      </c>
      <c r="B788" s="8" t="s">
        <v>1112</v>
      </c>
      <c r="C788" s="7" t="s">
        <v>20</v>
      </c>
      <c r="D788" s="7" t="s">
        <v>54</v>
      </c>
      <c r="E788" s="7" t="s">
        <v>28</v>
      </c>
      <c r="F788" s="9">
        <v>124.76</v>
      </c>
      <c r="G788" s="9">
        <v>45.05</v>
      </c>
      <c r="H788" s="7">
        <v>1</v>
      </c>
      <c r="I788" s="10">
        <f t="shared" si="24"/>
        <v>0.36109329913433791</v>
      </c>
      <c r="J788" s="7" t="str">
        <f t="shared" si="25"/>
        <v>Low</v>
      </c>
    </row>
    <row r="789" spans="1:10" x14ac:dyDescent="0.3">
      <c r="A789" s="7" t="s">
        <v>1114</v>
      </c>
      <c r="B789" s="8" t="s">
        <v>1115</v>
      </c>
      <c r="C789" s="7" t="s">
        <v>32</v>
      </c>
      <c r="D789" s="7" t="s">
        <v>43</v>
      </c>
      <c r="E789" s="7" t="s">
        <v>24</v>
      </c>
      <c r="F789" s="9">
        <v>97.95</v>
      </c>
      <c r="G789" s="9">
        <v>17.649999999999999</v>
      </c>
      <c r="H789" s="7">
        <v>1</v>
      </c>
      <c r="I789" s="10">
        <f t="shared" si="24"/>
        <v>0.18019397651863195</v>
      </c>
      <c r="J789" s="7" t="str">
        <f t="shared" si="25"/>
        <v>Low</v>
      </c>
    </row>
    <row r="790" spans="1:10" x14ac:dyDescent="0.3">
      <c r="A790" s="7" t="s">
        <v>1116</v>
      </c>
      <c r="B790" s="8" t="s">
        <v>1115</v>
      </c>
      <c r="C790" s="7" t="s">
        <v>22</v>
      </c>
      <c r="D790" s="7" t="s">
        <v>60</v>
      </c>
      <c r="E790" s="7" t="s">
        <v>28</v>
      </c>
      <c r="F790" s="9">
        <v>2079.35</v>
      </c>
      <c r="G790" s="9">
        <v>879.62</v>
      </c>
      <c r="H790" s="7">
        <v>5</v>
      </c>
      <c r="I790" s="10">
        <f t="shared" si="24"/>
        <v>0.42302642652752065</v>
      </c>
      <c r="J790" s="7" t="str">
        <f t="shared" si="25"/>
        <v>Medium</v>
      </c>
    </row>
    <row r="791" spans="1:10" x14ac:dyDescent="0.3">
      <c r="A791" s="7" t="s">
        <v>1117</v>
      </c>
      <c r="B791" s="8" t="s">
        <v>1118</v>
      </c>
      <c r="C791" s="7" t="s">
        <v>22</v>
      </c>
      <c r="D791" s="7" t="s">
        <v>112</v>
      </c>
      <c r="E791" s="7" t="s">
        <v>14</v>
      </c>
      <c r="F791" s="9">
        <v>1590.52</v>
      </c>
      <c r="G791" s="9">
        <v>447.31</v>
      </c>
      <c r="H791" s="7">
        <v>4</v>
      </c>
      <c r="I791" s="10">
        <f t="shared" si="24"/>
        <v>0.2812350677765762</v>
      </c>
      <c r="J791" s="7" t="str">
        <f t="shared" si="25"/>
        <v>Medium</v>
      </c>
    </row>
    <row r="792" spans="1:10" x14ac:dyDescent="0.3">
      <c r="A792" s="7" t="s">
        <v>1119</v>
      </c>
      <c r="B792" s="8" t="s">
        <v>1120</v>
      </c>
      <c r="C792" s="7" t="s">
        <v>32</v>
      </c>
      <c r="D792" s="7" t="s">
        <v>74</v>
      </c>
      <c r="E792" s="7" t="s">
        <v>18</v>
      </c>
      <c r="F792" s="9">
        <v>502.76</v>
      </c>
      <c r="G792" s="9">
        <v>91.29</v>
      </c>
      <c r="H792" s="7">
        <v>2</v>
      </c>
      <c r="I792" s="10">
        <f t="shared" si="24"/>
        <v>0.18157769114488029</v>
      </c>
      <c r="J792" s="7" t="str">
        <f t="shared" si="25"/>
        <v>Low</v>
      </c>
    </row>
    <row r="793" spans="1:10" x14ac:dyDescent="0.3">
      <c r="A793" s="7" t="s">
        <v>1121</v>
      </c>
      <c r="B793" s="8" t="s">
        <v>1120</v>
      </c>
      <c r="C793" s="7" t="s">
        <v>20</v>
      </c>
      <c r="D793" s="7" t="s">
        <v>34</v>
      </c>
      <c r="E793" s="7" t="s">
        <v>24</v>
      </c>
      <c r="F793" s="9">
        <v>1772.8</v>
      </c>
      <c r="G793" s="9">
        <v>371.55</v>
      </c>
      <c r="H793" s="7">
        <v>5</v>
      </c>
      <c r="I793" s="10">
        <f t="shared" si="24"/>
        <v>0.2095837093862816</v>
      </c>
      <c r="J793" s="7" t="str">
        <f t="shared" si="25"/>
        <v>Medium</v>
      </c>
    </row>
    <row r="794" spans="1:10" x14ac:dyDescent="0.3">
      <c r="A794" s="7" t="s">
        <v>1122</v>
      </c>
      <c r="B794" s="8" t="s">
        <v>1120</v>
      </c>
      <c r="C794" s="7" t="s">
        <v>32</v>
      </c>
      <c r="D794" s="7" t="s">
        <v>70</v>
      </c>
      <c r="E794" s="7" t="s">
        <v>14</v>
      </c>
      <c r="F794" s="9">
        <v>382.99</v>
      </c>
      <c r="G794" s="9">
        <v>112.2</v>
      </c>
      <c r="H794" s="7">
        <v>1</v>
      </c>
      <c r="I794" s="10">
        <f t="shared" si="24"/>
        <v>0.29295804067991332</v>
      </c>
      <c r="J794" s="7" t="str">
        <f t="shared" si="25"/>
        <v>Low</v>
      </c>
    </row>
    <row r="795" spans="1:10" x14ac:dyDescent="0.3">
      <c r="A795" s="7" t="s">
        <v>1123</v>
      </c>
      <c r="B795" s="8" t="s">
        <v>1120</v>
      </c>
      <c r="C795" s="7" t="s">
        <v>12</v>
      </c>
      <c r="D795" s="7" t="s">
        <v>27</v>
      </c>
      <c r="E795" s="7" t="s">
        <v>28</v>
      </c>
      <c r="F795" s="9">
        <v>668.42</v>
      </c>
      <c r="G795" s="9">
        <v>151.25</v>
      </c>
      <c r="H795" s="7">
        <v>2</v>
      </c>
      <c r="I795" s="10">
        <f t="shared" si="24"/>
        <v>0.22627988390532899</v>
      </c>
      <c r="J795" s="7" t="str">
        <f t="shared" si="25"/>
        <v>Low</v>
      </c>
    </row>
    <row r="796" spans="1:10" x14ac:dyDescent="0.3">
      <c r="A796" s="7" t="s">
        <v>1124</v>
      </c>
      <c r="B796" s="8" t="s">
        <v>1125</v>
      </c>
      <c r="C796" s="7" t="s">
        <v>22</v>
      </c>
      <c r="D796" s="7" t="s">
        <v>13</v>
      </c>
      <c r="E796" s="7" t="s">
        <v>14</v>
      </c>
      <c r="F796" s="9">
        <v>2123.8200000000002</v>
      </c>
      <c r="G796" s="9">
        <v>420.58</v>
      </c>
      <c r="H796" s="7">
        <v>6</v>
      </c>
      <c r="I796" s="10">
        <f t="shared" si="24"/>
        <v>0.19802996487461269</v>
      </c>
      <c r="J796" s="7" t="str">
        <f t="shared" si="25"/>
        <v>Medium</v>
      </c>
    </row>
    <row r="797" spans="1:10" x14ac:dyDescent="0.3">
      <c r="A797" s="7" t="s">
        <v>1126</v>
      </c>
      <c r="B797" s="8" t="s">
        <v>1125</v>
      </c>
      <c r="C797" s="7" t="s">
        <v>32</v>
      </c>
      <c r="D797" s="7" t="s">
        <v>41</v>
      </c>
      <c r="E797" s="7" t="s">
        <v>28</v>
      </c>
      <c r="F797" s="9">
        <v>300.76</v>
      </c>
      <c r="G797" s="9">
        <v>140.57</v>
      </c>
      <c r="H797" s="7">
        <v>1</v>
      </c>
      <c r="I797" s="10">
        <f t="shared" si="24"/>
        <v>0.46738263066897195</v>
      </c>
      <c r="J797" s="7" t="str">
        <f t="shared" si="25"/>
        <v>Low</v>
      </c>
    </row>
    <row r="798" spans="1:10" x14ac:dyDescent="0.3">
      <c r="A798" s="7" t="s">
        <v>1127</v>
      </c>
      <c r="B798" s="8" t="s">
        <v>1128</v>
      </c>
      <c r="C798" s="7" t="s">
        <v>32</v>
      </c>
      <c r="D798" s="7" t="s">
        <v>63</v>
      </c>
      <c r="E798" s="7" t="s">
        <v>28</v>
      </c>
      <c r="F798" s="9">
        <v>186.2</v>
      </c>
      <c r="G798" s="9">
        <v>75.16</v>
      </c>
      <c r="H798" s="7">
        <v>1</v>
      </c>
      <c r="I798" s="10">
        <f t="shared" si="24"/>
        <v>0.40365198711063371</v>
      </c>
      <c r="J798" s="7" t="str">
        <f t="shared" si="25"/>
        <v>Low</v>
      </c>
    </row>
    <row r="799" spans="1:10" x14ac:dyDescent="0.3">
      <c r="A799" s="7" t="s">
        <v>1129</v>
      </c>
      <c r="B799" s="8" t="s">
        <v>1128</v>
      </c>
      <c r="C799" s="7" t="s">
        <v>12</v>
      </c>
      <c r="D799" s="7" t="s">
        <v>85</v>
      </c>
      <c r="E799" s="7" t="s">
        <v>24</v>
      </c>
      <c r="F799" s="9">
        <v>361.09</v>
      </c>
      <c r="G799" s="9">
        <v>153.74</v>
      </c>
      <c r="H799" s="7">
        <v>1</v>
      </c>
      <c r="I799" s="10">
        <f t="shared" si="24"/>
        <v>0.4257664294220278</v>
      </c>
      <c r="J799" s="7" t="str">
        <f t="shared" si="25"/>
        <v>Low</v>
      </c>
    </row>
    <row r="800" spans="1:10" x14ac:dyDescent="0.3">
      <c r="A800" s="7" t="s">
        <v>1130</v>
      </c>
      <c r="B800" s="8" t="s">
        <v>1128</v>
      </c>
      <c r="C800" s="7" t="s">
        <v>12</v>
      </c>
      <c r="D800" s="7" t="s">
        <v>89</v>
      </c>
      <c r="E800" s="7" t="s">
        <v>24</v>
      </c>
      <c r="F800" s="9">
        <v>1106.68</v>
      </c>
      <c r="G800" s="9">
        <v>244.33</v>
      </c>
      <c r="H800" s="7">
        <v>4</v>
      </c>
      <c r="I800" s="10">
        <f t="shared" si="24"/>
        <v>0.22077746051252395</v>
      </c>
      <c r="J800" s="7" t="str">
        <f t="shared" si="25"/>
        <v>Low</v>
      </c>
    </row>
    <row r="801" spans="1:10" x14ac:dyDescent="0.3">
      <c r="A801" s="7" t="s">
        <v>1131</v>
      </c>
      <c r="B801" s="8" t="s">
        <v>1128</v>
      </c>
      <c r="C801" s="7" t="s">
        <v>22</v>
      </c>
      <c r="D801" s="7" t="s">
        <v>23</v>
      </c>
      <c r="E801" s="7" t="s">
        <v>24</v>
      </c>
      <c r="F801" s="9">
        <v>104.33</v>
      </c>
      <c r="G801" s="9">
        <v>28.67</v>
      </c>
      <c r="H801" s="7">
        <v>1</v>
      </c>
      <c r="I801" s="10">
        <f t="shared" si="24"/>
        <v>0.27480111185660888</v>
      </c>
      <c r="J801" s="7" t="str">
        <f t="shared" si="25"/>
        <v>Low</v>
      </c>
    </row>
    <row r="802" spans="1:10" x14ac:dyDescent="0.3">
      <c r="A802" s="7" t="s">
        <v>1132</v>
      </c>
      <c r="B802" s="8" t="s">
        <v>1133</v>
      </c>
      <c r="C802" s="7" t="s">
        <v>12</v>
      </c>
      <c r="D802" s="7" t="s">
        <v>63</v>
      </c>
      <c r="E802" s="7" t="s">
        <v>28</v>
      </c>
      <c r="F802" s="9">
        <v>1119.3599999999999</v>
      </c>
      <c r="G802" s="9">
        <v>442.69</v>
      </c>
      <c r="H802" s="7">
        <v>6</v>
      </c>
      <c r="I802" s="10">
        <f t="shared" si="24"/>
        <v>0.39548491995425961</v>
      </c>
      <c r="J802" s="7" t="str">
        <f t="shared" si="25"/>
        <v>Low</v>
      </c>
    </row>
    <row r="803" spans="1:10" x14ac:dyDescent="0.3">
      <c r="A803" s="7" t="s">
        <v>1134</v>
      </c>
      <c r="B803" s="8" t="s">
        <v>1133</v>
      </c>
      <c r="C803" s="7" t="s">
        <v>20</v>
      </c>
      <c r="D803" s="7" t="s">
        <v>79</v>
      </c>
      <c r="E803" s="7" t="s">
        <v>14</v>
      </c>
      <c r="F803" s="9">
        <v>1577.2</v>
      </c>
      <c r="G803" s="9">
        <v>621.64</v>
      </c>
      <c r="H803" s="7">
        <v>10</v>
      </c>
      <c r="I803" s="10">
        <f t="shared" si="24"/>
        <v>0.39414151661171692</v>
      </c>
      <c r="J803" s="7" t="str">
        <f t="shared" si="25"/>
        <v>Medium</v>
      </c>
    </row>
    <row r="804" spans="1:10" x14ac:dyDescent="0.3">
      <c r="A804" s="7" t="s">
        <v>1135</v>
      </c>
      <c r="B804" s="8" t="s">
        <v>1136</v>
      </c>
      <c r="C804" s="7" t="s">
        <v>12</v>
      </c>
      <c r="D804" s="7" t="s">
        <v>23</v>
      </c>
      <c r="E804" s="7" t="s">
        <v>24</v>
      </c>
      <c r="F804" s="9">
        <v>411.6</v>
      </c>
      <c r="G804" s="9">
        <v>114.09</v>
      </c>
      <c r="H804" s="7">
        <v>4</v>
      </c>
      <c r="I804" s="10">
        <f t="shared" si="24"/>
        <v>0.27718658892128278</v>
      </c>
      <c r="J804" s="7" t="str">
        <f t="shared" si="25"/>
        <v>Low</v>
      </c>
    </row>
    <row r="805" spans="1:10" x14ac:dyDescent="0.3">
      <c r="A805" s="7" t="s">
        <v>1137</v>
      </c>
      <c r="B805" s="8" t="s">
        <v>1138</v>
      </c>
      <c r="C805" s="7" t="s">
        <v>20</v>
      </c>
      <c r="D805" s="7" t="s">
        <v>34</v>
      </c>
      <c r="E805" s="7" t="s">
        <v>24</v>
      </c>
      <c r="F805" s="9">
        <v>2854.4</v>
      </c>
      <c r="G805" s="9">
        <v>634.54</v>
      </c>
      <c r="H805" s="7">
        <v>8</v>
      </c>
      <c r="I805" s="10">
        <f t="shared" si="24"/>
        <v>0.22230241031390133</v>
      </c>
      <c r="J805" s="7" t="str">
        <f t="shared" si="25"/>
        <v>Medium</v>
      </c>
    </row>
    <row r="806" spans="1:10" x14ac:dyDescent="0.3">
      <c r="A806" s="7" t="s">
        <v>1139</v>
      </c>
      <c r="B806" s="8" t="s">
        <v>1138</v>
      </c>
      <c r="C806" s="7" t="s">
        <v>22</v>
      </c>
      <c r="D806" s="7" t="s">
        <v>34</v>
      </c>
      <c r="E806" s="7" t="s">
        <v>24</v>
      </c>
      <c r="F806" s="9">
        <v>679.98</v>
      </c>
      <c r="G806" s="9">
        <v>145.61000000000001</v>
      </c>
      <c r="H806" s="7">
        <v>2</v>
      </c>
      <c r="I806" s="10">
        <f t="shared" si="24"/>
        <v>0.21413865113679817</v>
      </c>
      <c r="J806" s="7" t="str">
        <f t="shared" si="25"/>
        <v>Low</v>
      </c>
    </row>
    <row r="807" spans="1:10" x14ac:dyDescent="0.3">
      <c r="A807" s="7" t="s">
        <v>1140</v>
      </c>
      <c r="B807" s="8" t="s">
        <v>1138</v>
      </c>
      <c r="C807" s="7" t="s">
        <v>20</v>
      </c>
      <c r="D807" s="7" t="s">
        <v>41</v>
      </c>
      <c r="E807" s="7" t="s">
        <v>28</v>
      </c>
      <c r="F807" s="9">
        <v>1148.72</v>
      </c>
      <c r="G807" s="9">
        <v>468.46</v>
      </c>
      <c r="H807" s="7">
        <v>4</v>
      </c>
      <c r="I807" s="10">
        <f t="shared" si="24"/>
        <v>0.40781043248137056</v>
      </c>
      <c r="J807" s="7" t="str">
        <f t="shared" si="25"/>
        <v>Low</v>
      </c>
    </row>
    <row r="808" spans="1:10" x14ac:dyDescent="0.3">
      <c r="A808" s="7" t="s">
        <v>1141</v>
      </c>
      <c r="B808" s="8" t="s">
        <v>1138</v>
      </c>
      <c r="C808" s="7" t="s">
        <v>22</v>
      </c>
      <c r="D808" s="7" t="s">
        <v>89</v>
      </c>
      <c r="E808" s="7" t="s">
        <v>24</v>
      </c>
      <c r="F808" s="9">
        <v>286.35000000000002</v>
      </c>
      <c r="G808" s="9">
        <v>76.819999999999993</v>
      </c>
      <c r="H808" s="7">
        <v>1</v>
      </c>
      <c r="I808" s="10">
        <f t="shared" si="24"/>
        <v>0.26827309236947788</v>
      </c>
      <c r="J808" s="7" t="str">
        <f t="shared" si="25"/>
        <v>Low</v>
      </c>
    </row>
    <row r="809" spans="1:10" x14ac:dyDescent="0.3">
      <c r="A809" s="7" t="s">
        <v>1142</v>
      </c>
      <c r="B809" s="8" t="s">
        <v>1138</v>
      </c>
      <c r="C809" s="7" t="s">
        <v>20</v>
      </c>
      <c r="D809" s="7" t="s">
        <v>79</v>
      </c>
      <c r="E809" s="7" t="s">
        <v>14</v>
      </c>
      <c r="F809" s="9">
        <v>938.46</v>
      </c>
      <c r="G809" s="9">
        <v>354.37</v>
      </c>
      <c r="H809" s="7">
        <v>6</v>
      </c>
      <c r="I809" s="10">
        <f t="shared" si="24"/>
        <v>0.37760799607868206</v>
      </c>
      <c r="J809" s="7" t="str">
        <f t="shared" si="25"/>
        <v>Low</v>
      </c>
    </row>
    <row r="810" spans="1:10" x14ac:dyDescent="0.3">
      <c r="A810" s="7" t="s">
        <v>1143</v>
      </c>
      <c r="B810" s="8" t="s">
        <v>1144</v>
      </c>
      <c r="C810" s="7" t="s">
        <v>22</v>
      </c>
      <c r="D810" s="7" t="s">
        <v>50</v>
      </c>
      <c r="E810" s="7" t="s">
        <v>14</v>
      </c>
      <c r="F810" s="9">
        <v>99.02</v>
      </c>
      <c r="G810" s="9">
        <v>41.98</v>
      </c>
      <c r="H810" s="7">
        <v>2</v>
      </c>
      <c r="I810" s="10">
        <f t="shared" si="24"/>
        <v>0.42395475661482529</v>
      </c>
      <c r="J810" s="7" t="str">
        <f t="shared" si="25"/>
        <v>Low</v>
      </c>
    </row>
    <row r="811" spans="1:10" x14ac:dyDescent="0.3">
      <c r="A811" s="7" t="s">
        <v>1145</v>
      </c>
      <c r="B811" s="8" t="s">
        <v>1144</v>
      </c>
      <c r="C811" s="7" t="s">
        <v>22</v>
      </c>
      <c r="D811" s="7" t="s">
        <v>17</v>
      </c>
      <c r="E811" s="7" t="s">
        <v>18</v>
      </c>
      <c r="F811" s="9">
        <v>3920.6</v>
      </c>
      <c r="G811" s="9">
        <v>1275.3900000000001</v>
      </c>
      <c r="H811" s="7">
        <v>10</v>
      </c>
      <c r="I811" s="10">
        <f t="shared" si="24"/>
        <v>0.3253048002856706</v>
      </c>
      <c r="J811" s="7" t="str">
        <f t="shared" si="25"/>
        <v>Medium</v>
      </c>
    </row>
    <row r="812" spans="1:10" x14ac:dyDescent="0.3">
      <c r="A812" s="7" t="s">
        <v>1146</v>
      </c>
      <c r="B812" s="8" t="s">
        <v>1144</v>
      </c>
      <c r="C812" s="7" t="s">
        <v>12</v>
      </c>
      <c r="D812" s="7" t="s">
        <v>23</v>
      </c>
      <c r="E812" s="7" t="s">
        <v>24</v>
      </c>
      <c r="F812" s="9">
        <v>99</v>
      </c>
      <c r="G812" s="9">
        <v>24.14</v>
      </c>
      <c r="H812" s="7">
        <v>1</v>
      </c>
      <c r="I812" s="10">
        <f t="shared" si="24"/>
        <v>0.24383838383838385</v>
      </c>
      <c r="J812" s="7" t="str">
        <f t="shared" si="25"/>
        <v>Low</v>
      </c>
    </row>
    <row r="813" spans="1:10" x14ac:dyDescent="0.3">
      <c r="A813" s="7" t="s">
        <v>1147</v>
      </c>
      <c r="B813" s="8" t="s">
        <v>1144</v>
      </c>
      <c r="C813" s="7" t="s">
        <v>32</v>
      </c>
      <c r="D813" s="7" t="s">
        <v>38</v>
      </c>
      <c r="E813" s="7" t="s">
        <v>18</v>
      </c>
      <c r="F813" s="9">
        <v>717.5</v>
      </c>
      <c r="G813" s="9">
        <v>130.9</v>
      </c>
      <c r="H813" s="7">
        <v>2</v>
      </c>
      <c r="I813" s="10">
        <f t="shared" si="24"/>
        <v>0.1824390243902439</v>
      </c>
      <c r="J813" s="7" t="str">
        <f t="shared" si="25"/>
        <v>Low</v>
      </c>
    </row>
    <row r="814" spans="1:10" x14ac:dyDescent="0.3">
      <c r="A814" s="7" t="s">
        <v>1148</v>
      </c>
      <c r="B814" s="8" t="s">
        <v>1144</v>
      </c>
      <c r="C814" s="7" t="s">
        <v>20</v>
      </c>
      <c r="D814" s="7" t="s">
        <v>43</v>
      </c>
      <c r="E814" s="7" t="s">
        <v>24</v>
      </c>
      <c r="F814" s="9">
        <v>98.27</v>
      </c>
      <c r="G814" s="9">
        <v>20.309999999999999</v>
      </c>
      <c r="H814" s="7">
        <v>1</v>
      </c>
      <c r="I814" s="10">
        <f t="shared" si="24"/>
        <v>0.20667548590617685</v>
      </c>
      <c r="J814" s="7" t="str">
        <f t="shared" si="25"/>
        <v>Low</v>
      </c>
    </row>
    <row r="815" spans="1:10" x14ac:dyDescent="0.3">
      <c r="A815" s="7" t="s">
        <v>1149</v>
      </c>
      <c r="B815" s="8" t="s">
        <v>1144</v>
      </c>
      <c r="C815" s="7" t="s">
        <v>32</v>
      </c>
      <c r="D815" s="7" t="s">
        <v>60</v>
      </c>
      <c r="E815" s="7" t="s">
        <v>28</v>
      </c>
      <c r="F815" s="9">
        <v>2373</v>
      </c>
      <c r="G815" s="9">
        <v>968.81</v>
      </c>
      <c r="H815" s="7">
        <v>6</v>
      </c>
      <c r="I815" s="10">
        <f t="shared" si="24"/>
        <v>0.40826380109565946</v>
      </c>
      <c r="J815" s="7" t="str">
        <f t="shared" si="25"/>
        <v>Medium</v>
      </c>
    </row>
    <row r="816" spans="1:10" x14ac:dyDescent="0.3">
      <c r="A816" s="7" t="s">
        <v>1150</v>
      </c>
      <c r="B816" s="8" t="s">
        <v>1151</v>
      </c>
      <c r="C816" s="7" t="s">
        <v>22</v>
      </c>
      <c r="D816" s="7" t="s">
        <v>50</v>
      </c>
      <c r="E816" s="7" t="s">
        <v>14</v>
      </c>
      <c r="F816" s="9">
        <v>137.76</v>
      </c>
      <c r="G816" s="9">
        <v>54.85</v>
      </c>
      <c r="H816" s="7">
        <v>3</v>
      </c>
      <c r="I816" s="10">
        <f t="shared" si="24"/>
        <v>0.39815621370499421</v>
      </c>
      <c r="J816" s="7" t="str">
        <f t="shared" si="25"/>
        <v>Low</v>
      </c>
    </row>
    <row r="817" spans="1:10" x14ac:dyDescent="0.3">
      <c r="A817" s="7" t="s">
        <v>1152</v>
      </c>
      <c r="B817" s="8" t="s">
        <v>1151</v>
      </c>
      <c r="C817" s="7" t="s">
        <v>32</v>
      </c>
      <c r="D817" s="7" t="s">
        <v>54</v>
      </c>
      <c r="E817" s="7" t="s">
        <v>28</v>
      </c>
      <c r="F817" s="9">
        <v>266.66000000000003</v>
      </c>
      <c r="G817" s="9">
        <v>113.6</v>
      </c>
      <c r="H817" s="7">
        <v>2</v>
      </c>
      <c r="I817" s="10">
        <f t="shared" si="24"/>
        <v>0.42601065026625662</v>
      </c>
      <c r="J817" s="7" t="str">
        <f t="shared" si="25"/>
        <v>Low</v>
      </c>
    </row>
    <row r="818" spans="1:10" x14ac:dyDescent="0.3">
      <c r="A818" s="7" t="s">
        <v>1153</v>
      </c>
      <c r="B818" s="8" t="s">
        <v>1151</v>
      </c>
      <c r="C818" s="7" t="s">
        <v>12</v>
      </c>
      <c r="D818" s="7" t="s">
        <v>38</v>
      </c>
      <c r="E818" s="7" t="s">
        <v>18</v>
      </c>
      <c r="F818" s="9">
        <v>791.24</v>
      </c>
      <c r="G818" s="9">
        <v>207.55</v>
      </c>
      <c r="H818" s="7">
        <v>2</v>
      </c>
      <c r="I818" s="10">
        <f t="shared" si="24"/>
        <v>0.26230979222486223</v>
      </c>
      <c r="J818" s="7" t="str">
        <f t="shared" si="25"/>
        <v>Low</v>
      </c>
    </row>
    <row r="819" spans="1:10" x14ac:dyDescent="0.3">
      <c r="A819" s="7" t="s">
        <v>1154</v>
      </c>
      <c r="B819" s="8" t="s">
        <v>1151</v>
      </c>
      <c r="C819" s="7" t="s">
        <v>20</v>
      </c>
      <c r="D819" s="7" t="s">
        <v>54</v>
      </c>
      <c r="E819" s="7" t="s">
        <v>28</v>
      </c>
      <c r="F819" s="9">
        <v>133.52000000000001</v>
      </c>
      <c r="G819" s="9">
        <v>57.46</v>
      </c>
      <c r="H819" s="7">
        <v>1</v>
      </c>
      <c r="I819" s="10">
        <f t="shared" si="24"/>
        <v>0.43034751348112638</v>
      </c>
      <c r="J819" s="7" t="str">
        <f t="shared" si="25"/>
        <v>Low</v>
      </c>
    </row>
    <row r="820" spans="1:10" x14ac:dyDescent="0.3">
      <c r="A820" s="7" t="s">
        <v>1155</v>
      </c>
      <c r="B820" s="8" t="s">
        <v>1151</v>
      </c>
      <c r="C820" s="7" t="s">
        <v>22</v>
      </c>
      <c r="D820" s="7" t="s">
        <v>57</v>
      </c>
      <c r="E820" s="7" t="s">
        <v>18</v>
      </c>
      <c r="F820" s="9">
        <v>1015.32</v>
      </c>
      <c r="G820" s="9">
        <v>227.72</v>
      </c>
      <c r="H820" s="7">
        <v>6</v>
      </c>
      <c r="I820" s="10">
        <f t="shared" si="24"/>
        <v>0.22428396958594335</v>
      </c>
      <c r="J820" s="7" t="str">
        <f t="shared" si="25"/>
        <v>Low</v>
      </c>
    </row>
    <row r="821" spans="1:10" x14ac:dyDescent="0.3">
      <c r="A821" s="7" t="s">
        <v>1156</v>
      </c>
      <c r="B821" s="8" t="s">
        <v>1151</v>
      </c>
      <c r="C821" s="7" t="s">
        <v>32</v>
      </c>
      <c r="D821" s="7" t="s">
        <v>17</v>
      </c>
      <c r="E821" s="7" t="s">
        <v>18</v>
      </c>
      <c r="F821" s="9">
        <v>366.19</v>
      </c>
      <c r="G821" s="9">
        <v>94.04</v>
      </c>
      <c r="H821" s="7">
        <v>1</v>
      </c>
      <c r="I821" s="10">
        <f t="shared" si="24"/>
        <v>0.25680657582129496</v>
      </c>
      <c r="J821" s="7" t="str">
        <f t="shared" si="25"/>
        <v>Low</v>
      </c>
    </row>
    <row r="822" spans="1:10" x14ac:dyDescent="0.3">
      <c r="A822" s="7" t="s">
        <v>1157</v>
      </c>
      <c r="B822" s="8" t="s">
        <v>1158</v>
      </c>
      <c r="C822" s="7" t="s">
        <v>32</v>
      </c>
      <c r="D822" s="7" t="s">
        <v>23</v>
      </c>
      <c r="E822" s="7" t="s">
        <v>24</v>
      </c>
      <c r="F822" s="9">
        <v>634.38</v>
      </c>
      <c r="G822" s="9">
        <v>204.75</v>
      </c>
      <c r="H822" s="7">
        <v>6</v>
      </c>
      <c r="I822" s="10">
        <f t="shared" si="24"/>
        <v>0.32275607679939466</v>
      </c>
      <c r="J822" s="7" t="str">
        <f t="shared" si="25"/>
        <v>Low</v>
      </c>
    </row>
    <row r="823" spans="1:10" x14ac:dyDescent="0.3">
      <c r="A823" s="7" t="s">
        <v>1159</v>
      </c>
      <c r="B823" s="8" t="s">
        <v>1158</v>
      </c>
      <c r="C823" s="7" t="s">
        <v>32</v>
      </c>
      <c r="D823" s="7" t="s">
        <v>57</v>
      </c>
      <c r="E823" s="7" t="s">
        <v>18</v>
      </c>
      <c r="F823" s="9">
        <v>495.69</v>
      </c>
      <c r="G823" s="9">
        <v>112.94</v>
      </c>
      <c r="H823" s="7">
        <v>3</v>
      </c>
      <c r="I823" s="10">
        <f t="shared" si="24"/>
        <v>0.22784401541285884</v>
      </c>
      <c r="J823" s="7" t="str">
        <f t="shared" si="25"/>
        <v>Low</v>
      </c>
    </row>
    <row r="824" spans="1:10" x14ac:dyDescent="0.3">
      <c r="A824" s="7" t="s">
        <v>1160</v>
      </c>
      <c r="B824" s="8" t="s">
        <v>1161</v>
      </c>
      <c r="C824" s="7" t="s">
        <v>22</v>
      </c>
      <c r="D824" s="7" t="s">
        <v>13</v>
      </c>
      <c r="E824" s="7" t="s">
        <v>14</v>
      </c>
      <c r="F824" s="9">
        <v>363.88</v>
      </c>
      <c r="G824" s="9">
        <v>71.14</v>
      </c>
      <c r="H824" s="7">
        <v>1</v>
      </c>
      <c r="I824" s="10">
        <f t="shared" si="24"/>
        <v>0.19550401231175113</v>
      </c>
      <c r="J824" s="7" t="str">
        <f t="shared" si="25"/>
        <v>Low</v>
      </c>
    </row>
    <row r="825" spans="1:10" x14ac:dyDescent="0.3">
      <c r="A825" s="7" t="s">
        <v>1162</v>
      </c>
      <c r="B825" s="8" t="s">
        <v>1163</v>
      </c>
      <c r="C825" s="7" t="s">
        <v>32</v>
      </c>
      <c r="D825" s="7" t="s">
        <v>63</v>
      </c>
      <c r="E825" s="7" t="s">
        <v>28</v>
      </c>
      <c r="F825" s="9">
        <v>571.14</v>
      </c>
      <c r="G825" s="9">
        <v>251.82</v>
      </c>
      <c r="H825" s="7">
        <v>3</v>
      </c>
      <c r="I825" s="10">
        <f t="shared" si="24"/>
        <v>0.44090765836747559</v>
      </c>
      <c r="J825" s="7" t="str">
        <f t="shared" si="25"/>
        <v>Low</v>
      </c>
    </row>
    <row r="826" spans="1:10" x14ac:dyDescent="0.3">
      <c r="A826" s="7" t="s">
        <v>1164</v>
      </c>
      <c r="B826" s="8" t="s">
        <v>1163</v>
      </c>
      <c r="C826" s="7" t="s">
        <v>20</v>
      </c>
      <c r="D826" s="7" t="s">
        <v>79</v>
      </c>
      <c r="E826" s="7" t="s">
        <v>14</v>
      </c>
      <c r="F826" s="9">
        <v>810.5</v>
      </c>
      <c r="G826" s="9">
        <v>342.82</v>
      </c>
      <c r="H826" s="7">
        <v>5</v>
      </c>
      <c r="I826" s="10">
        <f t="shared" si="24"/>
        <v>0.42297347316471312</v>
      </c>
      <c r="J826" s="7" t="str">
        <f t="shared" si="25"/>
        <v>Low</v>
      </c>
    </row>
    <row r="827" spans="1:10" x14ac:dyDescent="0.3">
      <c r="A827" s="7" t="s">
        <v>1165</v>
      </c>
      <c r="B827" s="8" t="s">
        <v>1163</v>
      </c>
      <c r="C827" s="7" t="s">
        <v>32</v>
      </c>
      <c r="D827" s="7" t="s">
        <v>89</v>
      </c>
      <c r="E827" s="7" t="s">
        <v>24</v>
      </c>
      <c r="F827" s="9">
        <v>281.45</v>
      </c>
      <c r="G827" s="9">
        <v>77.67</v>
      </c>
      <c r="H827" s="7">
        <v>1</v>
      </c>
      <c r="I827" s="10">
        <f t="shared" si="24"/>
        <v>0.27596375910463672</v>
      </c>
      <c r="J827" s="7" t="str">
        <f t="shared" si="25"/>
        <v>Low</v>
      </c>
    </row>
    <row r="828" spans="1:10" x14ac:dyDescent="0.3">
      <c r="A828" s="7" t="s">
        <v>1166</v>
      </c>
      <c r="B828" s="8" t="s">
        <v>1163</v>
      </c>
      <c r="C828" s="7" t="s">
        <v>32</v>
      </c>
      <c r="D828" s="7" t="s">
        <v>13</v>
      </c>
      <c r="E828" s="7" t="s">
        <v>14</v>
      </c>
      <c r="F828" s="9">
        <v>1102.56</v>
      </c>
      <c r="G828" s="9">
        <v>236.77</v>
      </c>
      <c r="H828" s="7">
        <v>3</v>
      </c>
      <c r="I828" s="10">
        <f t="shared" si="24"/>
        <v>0.2147456827746336</v>
      </c>
      <c r="J828" s="7" t="str">
        <f t="shared" si="25"/>
        <v>Low</v>
      </c>
    </row>
    <row r="829" spans="1:10" x14ac:dyDescent="0.3">
      <c r="A829" s="7" t="s">
        <v>1167</v>
      </c>
      <c r="B829" s="8" t="s">
        <v>1168</v>
      </c>
      <c r="C829" s="7" t="s">
        <v>32</v>
      </c>
      <c r="D829" s="7" t="s">
        <v>60</v>
      </c>
      <c r="E829" s="7" t="s">
        <v>28</v>
      </c>
      <c r="F829" s="9">
        <v>2420.94</v>
      </c>
      <c r="G829" s="9">
        <v>966.82</v>
      </c>
      <c r="H829" s="7">
        <v>6</v>
      </c>
      <c r="I829" s="10">
        <f t="shared" si="24"/>
        <v>0.39935727444711561</v>
      </c>
      <c r="J829" s="7" t="str">
        <f t="shared" si="25"/>
        <v>Medium</v>
      </c>
    </row>
    <row r="830" spans="1:10" x14ac:dyDescent="0.3">
      <c r="A830" s="7" t="s">
        <v>1169</v>
      </c>
      <c r="B830" s="8" t="s">
        <v>1168</v>
      </c>
      <c r="C830" s="7" t="s">
        <v>22</v>
      </c>
      <c r="D830" s="7" t="s">
        <v>41</v>
      </c>
      <c r="E830" s="7" t="s">
        <v>28</v>
      </c>
      <c r="F830" s="9">
        <v>879.87</v>
      </c>
      <c r="G830" s="9">
        <v>381.9</v>
      </c>
      <c r="H830" s="7">
        <v>3</v>
      </c>
      <c r="I830" s="10">
        <f t="shared" si="24"/>
        <v>0.43404139247843426</v>
      </c>
      <c r="J830" s="7" t="str">
        <f t="shared" si="25"/>
        <v>Low</v>
      </c>
    </row>
    <row r="831" spans="1:10" x14ac:dyDescent="0.3">
      <c r="A831" s="7" t="s">
        <v>1170</v>
      </c>
      <c r="B831" s="8" t="s">
        <v>1168</v>
      </c>
      <c r="C831" s="7" t="s">
        <v>20</v>
      </c>
      <c r="D831" s="7" t="s">
        <v>27</v>
      </c>
      <c r="E831" s="7" t="s">
        <v>28</v>
      </c>
      <c r="F831" s="9">
        <v>643.64</v>
      </c>
      <c r="G831" s="9">
        <v>136.94999999999999</v>
      </c>
      <c r="H831" s="7">
        <v>2</v>
      </c>
      <c r="I831" s="10">
        <f t="shared" si="24"/>
        <v>0.21277422161456713</v>
      </c>
      <c r="J831" s="7" t="str">
        <f t="shared" si="25"/>
        <v>Low</v>
      </c>
    </row>
    <row r="832" spans="1:10" x14ac:dyDescent="0.3">
      <c r="A832" s="7" t="s">
        <v>1171</v>
      </c>
      <c r="B832" s="8" t="s">
        <v>1168</v>
      </c>
      <c r="C832" s="7" t="s">
        <v>32</v>
      </c>
      <c r="D832" s="7" t="s">
        <v>27</v>
      </c>
      <c r="E832" s="7" t="s">
        <v>28</v>
      </c>
      <c r="F832" s="9">
        <v>310.54000000000002</v>
      </c>
      <c r="G832" s="9">
        <v>61.11</v>
      </c>
      <c r="H832" s="7">
        <v>1</v>
      </c>
      <c r="I832" s="10">
        <f t="shared" si="24"/>
        <v>0.19678624331809105</v>
      </c>
      <c r="J832" s="7" t="str">
        <f t="shared" si="25"/>
        <v>Low</v>
      </c>
    </row>
    <row r="833" spans="1:10" x14ac:dyDescent="0.3">
      <c r="A833" s="7" t="s">
        <v>1172</v>
      </c>
      <c r="B833" s="8" t="s">
        <v>1168</v>
      </c>
      <c r="C833" s="7" t="s">
        <v>20</v>
      </c>
      <c r="D833" s="7" t="s">
        <v>63</v>
      </c>
      <c r="E833" s="7" t="s">
        <v>28</v>
      </c>
      <c r="F833" s="9">
        <v>1511.12</v>
      </c>
      <c r="G833" s="9">
        <v>615.80999999999995</v>
      </c>
      <c r="H833" s="7">
        <v>8</v>
      </c>
      <c r="I833" s="10">
        <f t="shared" si="24"/>
        <v>0.40751892635925668</v>
      </c>
      <c r="J833" s="7" t="str">
        <f t="shared" si="25"/>
        <v>Medium</v>
      </c>
    </row>
    <row r="834" spans="1:10" x14ac:dyDescent="0.3">
      <c r="A834" s="7" t="s">
        <v>1173</v>
      </c>
      <c r="B834" s="8" t="s">
        <v>1168</v>
      </c>
      <c r="C834" s="7" t="s">
        <v>22</v>
      </c>
      <c r="D834" s="7" t="s">
        <v>41</v>
      </c>
      <c r="E834" s="7" t="s">
        <v>28</v>
      </c>
      <c r="F834" s="9">
        <v>565.84</v>
      </c>
      <c r="G834" s="9">
        <v>257.45</v>
      </c>
      <c r="H834" s="7">
        <v>2</v>
      </c>
      <c r="I834" s="10">
        <f t="shared" ref="I834:I851" si="26">IFERROR(G834/F834,0)</f>
        <v>0.45498727555492713</v>
      </c>
      <c r="J834" s="7" t="str">
        <f t="shared" ref="J834:J851" si="27">IF(F834&gt;5000,"High",IF(F834&gt;1500,"Medium","Low"))</f>
        <v>Low</v>
      </c>
    </row>
    <row r="835" spans="1:10" x14ac:dyDescent="0.3">
      <c r="A835" s="7" t="s">
        <v>1174</v>
      </c>
      <c r="B835" s="8" t="s">
        <v>1175</v>
      </c>
      <c r="C835" s="7" t="s">
        <v>32</v>
      </c>
      <c r="D835" s="7" t="s">
        <v>57</v>
      </c>
      <c r="E835" s="7" t="s">
        <v>18</v>
      </c>
      <c r="F835" s="9">
        <v>169.7</v>
      </c>
      <c r="G835" s="9">
        <v>43.59</v>
      </c>
      <c r="H835" s="7">
        <v>1</v>
      </c>
      <c r="I835" s="10">
        <f t="shared" si="26"/>
        <v>0.25686505598114323</v>
      </c>
      <c r="J835" s="7" t="str">
        <f t="shared" si="27"/>
        <v>Low</v>
      </c>
    </row>
    <row r="836" spans="1:10" x14ac:dyDescent="0.3">
      <c r="A836" s="7" t="s">
        <v>1176</v>
      </c>
      <c r="B836" s="8" t="s">
        <v>1175</v>
      </c>
      <c r="C836" s="7" t="s">
        <v>22</v>
      </c>
      <c r="D836" s="7" t="s">
        <v>54</v>
      </c>
      <c r="E836" s="7" t="s">
        <v>28</v>
      </c>
      <c r="F836" s="9">
        <v>501</v>
      </c>
      <c r="G836" s="9">
        <v>168.62</v>
      </c>
      <c r="H836" s="7">
        <v>4</v>
      </c>
      <c r="I836" s="10">
        <f t="shared" si="26"/>
        <v>0.33656686626746507</v>
      </c>
      <c r="J836" s="7" t="str">
        <f t="shared" si="27"/>
        <v>Low</v>
      </c>
    </row>
    <row r="837" spans="1:10" x14ac:dyDescent="0.3">
      <c r="A837" s="7" t="s">
        <v>1177</v>
      </c>
      <c r="B837" s="8" t="s">
        <v>1178</v>
      </c>
      <c r="C837" s="7" t="s">
        <v>32</v>
      </c>
      <c r="D837" s="7" t="s">
        <v>27</v>
      </c>
      <c r="E837" s="7" t="s">
        <v>28</v>
      </c>
      <c r="F837" s="9">
        <v>323.60000000000002</v>
      </c>
      <c r="G837" s="9">
        <v>80.92</v>
      </c>
      <c r="H837" s="7">
        <v>1</v>
      </c>
      <c r="I837" s="10">
        <f t="shared" si="26"/>
        <v>0.250061804697157</v>
      </c>
      <c r="J837" s="7" t="str">
        <f t="shared" si="27"/>
        <v>Low</v>
      </c>
    </row>
    <row r="838" spans="1:10" x14ac:dyDescent="0.3">
      <c r="A838" s="7" t="s">
        <v>1179</v>
      </c>
      <c r="B838" s="8" t="s">
        <v>1178</v>
      </c>
      <c r="C838" s="7" t="s">
        <v>32</v>
      </c>
      <c r="D838" s="7" t="s">
        <v>50</v>
      </c>
      <c r="E838" s="7" t="s">
        <v>14</v>
      </c>
      <c r="F838" s="9">
        <v>136.11000000000001</v>
      </c>
      <c r="G838" s="9">
        <v>52.34</v>
      </c>
      <c r="H838" s="7">
        <v>3</v>
      </c>
      <c r="I838" s="10">
        <f t="shared" si="26"/>
        <v>0.38454191462787451</v>
      </c>
      <c r="J838" s="7" t="str">
        <f t="shared" si="27"/>
        <v>Low</v>
      </c>
    </row>
    <row r="839" spans="1:10" x14ac:dyDescent="0.3">
      <c r="A839" s="7" t="s">
        <v>1180</v>
      </c>
      <c r="B839" s="8" t="s">
        <v>1178</v>
      </c>
      <c r="C839" s="7" t="s">
        <v>12</v>
      </c>
      <c r="D839" s="7" t="s">
        <v>79</v>
      </c>
      <c r="E839" s="7" t="s">
        <v>14</v>
      </c>
      <c r="F839" s="9">
        <v>154.72</v>
      </c>
      <c r="G839" s="9">
        <v>57.02</v>
      </c>
      <c r="H839" s="7">
        <v>1</v>
      </c>
      <c r="I839" s="10">
        <f t="shared" si="26"/>
        <v>0.36853671147880046</v>
      </c>
      <c r="J839" s="7" t="str">
        <f t="shared" si="27"/>
        <v>Low</v>
      </c>
    </row>
    <row r="840" spans="1:10" x14ac:dyDescent="0.3">
      <c r="A840" s="7" t="s">
        <v>1181</v>
      </c>
      <c r="B840" s="8" t="s">
        <v>1182</v>
      </c>
      <c r="C840" s="7" t="s">
        <v>32</v>
      </c>
      <c r="D840" s="7" t="s">
        <v>254</v>
      </c>
      <c r="E840" s="7" t="s">
        <v>24</v>
      </c>
      <c r="F840" s="9">
        <v>18.16</v>
      </c>
      <c r="G840" s="9">
        <v>5.85</v>
      </c>
      <c r="H840" s="7">
        <v>1</v>
      </c>
      <c r="I840" s="10">
        <f t="shared" si="26"/>
        <v>0.32213656387665196</v>
      </c>
      <c r="J840" s="7" t="str">
        <f t="shared" si="27"/>
        <v>Low</v>
      </c>
    </row>
    <row r="841" spans="1:10" x14ac:dyDescent="0.3">
      <c r="A841" s="7" t="s">
        <v>1183</v>
      </c>
      <c r="B841" s="8" t="s">
        <v>1182</v>
      </c>
      <c r="C841" s="7" t="s">
        <v>20</v>
      </c>
      <c r="D841" s="7" t="s">
        <v>54</v>
      </c>
      <c r="E841" s="7" t="s">
        <v>28</v>
      </c>
      <c r="F841" s="9">
        <v>243.58</v>
      </c>
      <c r="G841" s="9">
        <v>83.13</v>
      </c>
      <c r="H841" s="7">
        <v>2</v>
      </c>
      <c r="I841" s="10">
        <f t="shared" si="26"/>
        <v>0.34128417768289676</v>
      </c>
      <c r="J841" s="7" t="str">
        <f t="shared" si="27"/>
        <v>Low</v>
      </c>
    </row>
    <row r="842" spans="1:10" x14ac:dyDescent="0.3">
      <c r="A842" s="7" t="s">
        <v>1184</v>
      </c>
      <c r="B842" s="8" t="s">
        <v>1182</v>
      </c>
      <c r="C842" s="7" t="s">
        <v>12</v>
      </c>
      <c r="D842" s="7" t="s">
        <v>112</v>
      </c>
      <c r="E842" s="7" t="s">
        <v>14</v>
      </c>
      <c r="F842" s="9">
        <v>3607.92</v>
      </c>
      <c r="G842" s="9">
        <v>1373.46</v>
      </c>
      <c r="H842" s="7">
        <v>8</v>
      </c>
      <c r="I842" s="10">
        <f t="shared" si="26"/>
        <v>0.38067917248719485</v>
      </c>
      <c r="J842" s="7" t="str">
        <f t="shared" si="27"/>
        <v>Medium</v>
      </c>
    </row>
    <row r="843" spans="1:10" x14ac:dyDescent="0.3">
      <c r="A843" s="7" t="s">
        <v>1185</v>
      </c>
      <c r="B843" s="8" t="s">
        <v>1186</v>
      </c>
      <c r="C843" s="7" t="s">
        <v>12</v>
      </c>
      <c r="D843" s="7" t="s">
        <v>57</v>
      </c>
      <c r="E843" s="7" t="s">
        <v>18</v>
      </c>
      <c r="F843" s="9">
        <v>339.46</v>
      </c>
      <c r="G843" s="9">
        <v>88.4</v>
      </c>
      <c r="H843" s="7">
        <v>2</v>
      </c>
      <c r="I843" s="10">
        <f t="shared" si="26"/>
        <v>0.26041359806751901</v>
      </c>
      <c r="J843" s="7" t="str">
        <f t="shared" si="27"/>
        <v>Low</v>
      </c>
    </row>
    <row r="844" spans="1:10" x14ac:dyDescent="0.3">
      <c r="A844" s="7" t="s">
        <v>1187</v>
      </c>
      <c r="B844" s="8" t="s">
        <v>1186</v>
      </c>
      <c r="C844" s="7" t="s">
        <v>32</v>
      </c>
      <c r="D844" s="7" t="s">
        <v>79</v>
      </c>
      <c r="E844" s="7" t="s">
        <v>14</v>
      </c>
      <c r="F844" s="9">
        <v>1167.5999999999999</v>
      </c>
      <c r="G844" s="9">
        <v>383.25</v>
      </c>
      <c r="H844" s="7">
        <v>8</v>
      </c>
      <c r="I844" s="10">
        <f t="shared" si="26"/>
        <v>0.32823741007194246</v>
      </c>
      <c r="J844" s="7" t="str">
        <f t="shared" si="27"/>
        <v>Low</v>
      </c>
    </row>
    <row r="845" spans="1:10" x14ac:dyDescent="0.3">
      <c r="A845" s="7" t="s">
        <v>1188</v>
      </c>
      <c r="B845" s="8" t="s">
        <v>1186</v>
      </c>
      <c r="C845" s="7" t="s">
        <v>20</v>
      </c>
      <c r="D845" s="7" t="s">
        <v>27</v>
      </c>
      <c r="E845" s="7" t="s">
        <v>28</v>
      </c>
      <c r="F845" s="9">
        <v>1654.35</v>
      </c>
      <c r="G845" s="9">
        <v>387.78</v>
      </c>
      <c r="H845" s="7">
        <v>5</v>
      </c>
      <c r="I845" s="10">
        <f t="shared" si="26"/>
        <v>0.23440021760812405</v>
      </c>
      <c r="J845" s="7" t="str">
        <f t="shared" si="27"/>
        <v>Medium</v>
      </c>
    </row>
    <row r="846" spans="1:10" x14ac:dyDescent="0.3">
      <c r="A846" s="7" t="s">
        <v>1189</v>
      </c>
      <c r="B846" s="8" t="s">
        <v>1186</v>
      </c>
      <c r="C846" s="7" t="s">
        <v>22</v>
      </c>
      <c r="D846" s="7" t="s">
        <v>50</v>
      </c>
      <c r="E846" s="7" t="s">
        <v>14</v>
      </c>
      <c r="F846" s="9">
        <v>149.16</v>
      </c>
      <c r="G846" s="9">
        <v>61.65</v>
      </c>
      <c r="H846" s="7">
        <v>3</v>
      </c>
      <c r="I846" s="10">
        <f t="shared" si="26"/>
        <v>0.41331456154465002</v>
      </c>
      <c r="J846" s="7" t="str">
        <f t="shared" si="27"/>
        <v>Low</v>
      </c>
    </row>
    <row r="847" spans="1:10" x14ac:dyDescent="0.3">
      <c r="A847" s="7" t="s">
        <v>1190</v>
      </c>
      <c r="B847" s="8" t="s">
        <v>1191</v>
      </c>
      <c r="C847" s="7" t="s">
        <v>20</v>
      </c>
      <c r="D847" s="7" t="s">
        <v>60</v>
      </c>
      <c r="E847" s="7" t="s">
        <v>28</v>
      </c>
      <c r="F847" s="9">
        <v>1574.88</v>
      </c>
      <c r="G847" s="9">
        <v>633.07000000000005</v>
      </c>
      <c r="H847" s="7">
        <v>4</v>
      </c>
      <c r="I847" s="10">
        <f t="shared" si="26"/>
        <v>0.40197983338413085</v>
      </c>
      <c r="J847" s="7" t="str">
        <f t="shared" si="27"/>
        <v>Medium</v>
      </c>
    </row>
    <row r="848" spans="1:10" x14ac:dyDescent="0.3">
      <c r="A848" s="7" t="s">
        <v>1192</v>
      </c>
      <c r="B848" s="8" t="s">
        <v>1191</v>
      </c>
      <c r="C848" s="7" t="s">
        <v>12</v>
      </c>
      <c r="D848" s="7" t="s">
        <v>43</v>
      </c>
      <c r="E848" s="7" t="s">
        <v>24</v>
      </c>
      <c r="F848" s="9">
        <v>201.76</v>
      </c>
      <c r="G848" s="9">
        <v>47.79</v>
      </c>
      <c r="H848" s="7">
        <v>2</v>
      </c>
      <c r="I848" s="10">
        <f t="shared" si="26"/>
        <v>0.23686558287073753</v>
      </c>
      <c r="J848" s="7" t="str">
        <f t="shared" si="27"/>
        <v>Low</v>
      </c>
    </row>
    <row r="849" spans="1:10" x14ac:dyDescent="0.3">
      <c r="A849" s="7" t="s">
        <v>1193</v>
      </c>
      <c r="B849" s="8" t="s">
        <v>1194</v>
      </c>
      <c r="C849" s="7" t="s">
        <v>22</v>
      </c>
      <c r="D849" s="7" t="s">
        <v>43</v>
      </c>
      <c r="E849" s="7" t="s">
        <v>24</v>
      </c>
      <c r="F849" s="9">
        <v>101.14</v>
      </c>
      <c r="G849" s="9">
        <v>24.36</v>
      </c>
      <c r="H849" s="7">
        <v>1</v>
      </c>
      <c r="I849" s="10">
        <f t="shared" si="26"/>
        <v>0.24085426141981411</v>
      </c>
      <c r="J849" s="7" t="str">
        <f t="shared" si="27"/>
        <v>Low</v>
      </c>
    </row>
    <row r="850" spans="1:10" x14ac:dyDescent="0.3">
      <c r="A850" s="7" t="s">
        <v>1195</v>
      </c>
      <c r="B850" s="8" t="s">
        <v>1194</v>
      </c>
      <c r="C850" s="7" t="s">
        <v>32</v>
      </c>
      <c r="D850" s="7" t="s">
        <v>85</v>
      </c>
      <c r="E850" s="7" t="s">
        <v>24</v>
      </c>
      <c r="F850" s="9">
        <v>369.5</v>
      </c>
      <c r="G850" s="9">
        <v>175.46</v>
      </c>
      <c r="H850" s="7">
        <v>1</v>
      </c>
      <c r="I850" s="10">
        <f t="shared" si="26"/>
        <v>0.47485791610284173</v>
      </c>
      <c r="J850" s="7" t="str">
        <f t="shared" si="27"/>
        <v>Low</v>
      </c>
    </row>
    <row r="851" spans="1:10" x14ac:dyDescent="0.3">
      <c r="A851" s="7" t="s">
        <v>1196</v>
      </c>
      <c r="B851" s="8" t="s">
        <v>1194</v>
      </c>
      <c r="C851" s="7" t="s">
        <v>32</v>
      </c>
      <c r="D851" s="7" t="s">
        <v>54</v>
      </c>
      <c r="E851" s="7" t="s">
        <v>28</v>
      </c>
      <c r="F851" s="9">
        <v>511.72</v>
      </c>
      <c r="G851" s="9">
        <v>190.04</v>
      </c>
      <c r="H851" s="7">
        <v>4</v>
      </c>
      <c r="I851" s="10">
        <f t="shared" si="26"/>
        <v>0.37137497068709446</v>
      </c>
      <c r="J851" s="7" t="str">
        <f t="shared" si="27"/>
        <v>Low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61"/>
  <sheetViews>
    <sheetView showGridLines="0" zoomScaleNormal="100" workbookViewId="0">
      <selection activeCell="J11" sqref="J11"/>
    </sheetView>
  </sheetViews>
  <sheetFormatPr defaultColWidth="8.6640625" defaultRowHeight="14.4" x14ac:dyDescent="0.3"/>
  <cols>
    <col min="2" max="5" width="18" customWidth="1"/>
  </cols>
  <sheetData>
    <row r="2" spans="2:12" ht="21" x14ac:dyDescent="0.4">
      <c r="B2" s="11" t="s">
        <v>1197</v>
      </c>
    </row>
    <row r="3" spans="2:12" x14ac:dyDescent="0.3">
      <c r="B3" s="12" t="s">
        <v>1198</v>
      </c>
    </row>
    <row r="5" spans="2:12" x14ac:dyDescent="0.3">
      <c r="B5" s="5" t="s">
        <v>1199</v>
      </c>
      <c r="C5" s="5"/>
      <c r="E5" s="5" t="s">
        <v>1200</v>
      </c>
      <c r="F5" s="5"/>
      <c r="H5" s="5" t="s">
        <v>1201</v>
      </c>
      <c r="I5" s="5"/>
      <c r="K5" s="5" t="s">
        <v>1202</v>
      </c>
      <c r="L5" s="5"/>
    </row>
    <row r="6" spans="2:12" ht="21" x14ac:dyDescent="0.3">
      <c r="B6" s="4">
        <f>SUM('Sales Data'!F2:F851)</f>
        <v>653618.68999999948</v>
      </c>
      <c r="C6" s="4"/>
      <c r="E6" s="4">
        <f>SUM('Sales Data'!G2:G851)</f>
        <v>205558.66999999984</v>
      </c>
      <c r="F6" s="4"/>
      <c r="H6" s="3">
        <f>AVERAGE('Sales Data'!I2:I851)</f>
        <v>0.31299661873459561</v>
      </c>
      <c r="I6" s="3"/>
      <c r="K6" s="2">
        <f>SUM('Sales Data'!H2:H851)</f>
        <v>2506</v>
      </c>
      <c r="L6" s="2"/>
    </row>
    <row r="9" spans="2:12" ht="15.6" x14ac:dyDescent="0.3">
      <c r="B9" s="1" t="s">
        <v>1203</v>
      </c>
      <c r="C9" s="1"/>
      <c r="D9" s="1"/>
      <c r="E9" s="1"/>
    </row>
    <row r="10" spans="2:12" x14ac:dyDescent="0.3">
      <c r="B10" s="13" t="s">
        <v>2</v>
      </c>
      <c r="C10" s="13" t="s">
        <v>1199</v>
      </c>
      <c r="D10" s="13" t="s">
        <v>1200</v>
      </c>
      <c r="E10" s="13" t="s">
        <v>8</v>
      </c>
    </row>
    <row r="11" spans="2:12" x14ac:dyDescent="0.3">
      <c r="B11" s="7" t="s">
        <v>12</v>
      </c>
      <c r="C11" s="14">
        <f>SUMIFS('Sales Data'!$F$2:$F$851,'Sales Data'!$C$2:$C$851,B11)</f>
        <v>174536.95000000016</v>
      </c>
      <c r="D11" s="14">
        <f>SUMIFS('Sales Data'!$G$2:$G$851,'Sales Data'!$C$2:$C$851,B11)</f>
        <v>54686.950000000019</v>
      </c>
      <c r="E11" s="10">
        <f>IFERROR(D11/C11,0)</f>
        <v>0.3133259175206165</v>
      </c>
    </row>
    <row r="12" spans="2:12" x14ac:dyDescent="0.3">
      <c r="B12" s="7" t="s">
        <v>22</v>
      </c>
      <c r="C12" s="14">
        <f>SUMIFS('Sales Data'!$F$2:$F$851,'Sales Data'!$C$2:$C$851,B12)</f>
        <v>137335.37000000005</v>
      </c>
      <c r="D12" s="14">
        <f>SUMIFS('Sales Data'!$G$2:$G$851,'Sales Data'!$C$2:$C$851,B12)</f>
        <v>43195.94</v>
      </c>
      <c r="E12" s="10">
        <f>IFERROR(D12/C12,0)</f>
        <v>0.31452887919550504</v>
      </c>
    </row>
    <row r="13" spans="2:12" x14ac:dyDescent="0.3">
      <c r="B13" s="7" t="s">
        <v>20</v>
      </c>
      <c r="C13" s="14">
        <f>SUMIFS('Sales Data'!$F$2:$F$851,'Sales Data'!$C$2:$C$851,B13)</f>
        <v>179307.85000000009</v>
      </c>
      <c r="D13" s="14">
        <f>SUMIFS('Sales Data'!$G$2:$G$851,'Sales Data'!$C$2:$C$851,B13)</f>
        <v>57573.51999999999</v>
      </c>
      <c r="E13" s="10">
        <f>IFERROR(D13/C13,0)</f>
        <v>0.32108755974710512</v>
      </c>
    </row>
    <row r="14" spans="2:12" x14ac:dyDescent="0.3">
      <c r="B14" s="7" t="s">
        <v>32</v>
      </c>
      <c r="C14" s="14">
        <f>SUMIFS('Sales Data'!$F$2:$F$851,'Sales Data'!$C$2:$C$851,B14)</f>
        <v>162438.52000000005</v>
      </c>
      <c r="D14" s="14">
        <f>SUMIFS('Sales Data'!$G$2:$G$851,'Sales Data'!$C$2:$C$851,B14)</f>
        <v>50102.259999999973</v>
      </c>
      <c r="E14" s="10">
        <f>IFERROR(D14/C14,0)</f>
        <v>0.30843829406965761</v>
      </c>
    </row>
    <row r="17" spans="2:5" ht="15.6" x14ac:dyDescent="0.3">
      <c r="B17" s="1" t="s">
        <v>1204</v>
      </c>
      <c r="C17" s="1"/>
      <c r="D17" s="1"/>
      <c r="E17" s="1"/>
    </row>
    <row r="18" spans="2:5" x14ac:dyDescent="0.3">
      <c r="B18" s="13" t="s">
        <v>4</v>
      </c>
      <c r="C18" s="13" t="s">
        <v>1199</v>
      </c>
      <c r="D18" s="13" t="s">
        <v>1200</v>
      </c>
      <c r="E18" s="13" t="s">
        <v>8</v>
      </c>
    </row>
    <row r="19" spans="2:5" x14ac:dyDescent="0.3">
      <c r="B19" s="7" t="s">
        <v>24</v>
      </c>
      <c r="C19" s="14">
        <f>SUMIFS('Sales Data'!$F$2:$F$851,'Sales Data'!$E$2:$E$851,B19)</f>
        <v>154137.95000000007</v>
      </c>
      <c r="D19" s="14">
        <f>SUMIFS('Sales Data'!$G$2:$G$851,'Sales Data'!$E$2:$E$851,B19)</f>
        <v>48768.140000000007</v>
      </c>
      <c r="E19" s="10">
        <f>IFERROR(D19/C19,0)</f>
        <v>0.31639281565636485</v>
      </c>
    </row>
    <row r="20" spans="2:5" x14ac:dyDescent="0.3">
      <c r="B20" s="7" t="s">
        <v>28</v>
      </c>
      <c r="C20" s="14">
        <f>SUMIFS('Sales Data'!$F$2:$F$851,'Sales Data'!$E$2:$E$851,B20)</f>
        <v>175844.81000000017</v>
      </c>
      <c r="D20" s="14">
        <f>SUMIFS('Sales Data'!$G$2:$G$851,'Sales Data'!$E$2:$E$851,B20)</f>
        <v>67418.11</v>
      </c>
      <c r="E20" s="10">
        <f>IFERROR(D20/C20,0)</f>
        <v>0.38339550652646465</v>
      </c>
    </row>
    <row r="21" spans="2:5" x14ac:dyDescent="0.3">
      <c r="B21" s="7" t="s">
        <v>18</v>
      </c>
      <c r="C21" s="14">
        <f>SUMIFS('Sales Data'!$F$2:$F$851,'Sales Data'!$E$2:$E$851,B21)</f>
        <v>150958.1700000001</v>
      </c>
      <c r="D21" s="14">
        <f>SUMIFS('Sales Data'!$G$2:$G$851,'Sales Data'!$E$2:$E$851,B21)</f>
        <v>38092.709999999977</v>
      </c>
      <c r="E21" s="10">
        <f>IFERROR(D21/C21,0)</f>
        <v>0.25233950570545438</v>
      </c>
    </row>
    <row r="22" spans="2:5" x14ac:dyDescent="0.3">
      <c r="B22" s="7" t="s">
        <v>14</v>
      </c>
      <c r="C22" s="14">
        <f>SUMIFS('Sales Data'!$F$2:$F$851,'Sales Data'!$E$2:$E$851,B22)</f>
        <v>172677.75999999998</v>
      </c>
      <c r="D22" s="14">
        <f>SUMIFS('Sales Data'!$G$2:$G$851,'Sales Data'!$E$2:$E$851,B22)</f>
        <v>51279.710000000021</v>
      </c>
      <c r="E22" s="10">
        <f>IFERROR(D22/C22,0)</f>
        <v>0.29696765813964709</v>
      </c>
    </row>
    <row r="25" spans="2:5" ht="15.6" x14ac:dyDescent="0.3">
      <c r="B25" s="1" t="s">
        <v>1205</v>
      </c>
      <c r="C25" s="1"/>
      <c r="D25" s="1"/>
    </row>
    <row r="26" spans="2:5" x14ac:dyDescent="0.3">
      <c r="B26" s="13" t="s">
        <v>1206</v>
      </c>
      <c r="C26" s="13" t="s">
        <v>1199</v>
      </c>
      <c r="D26" s="13" t="s">
        <v>1200</v>
      </c>
    </row>
    <row r="27" spans="2:5" x14ac:dyDescent="0.3">
      <c r="B27" s="7" t="s">
        <v>1207</v>
      </c>
      <c r="C27" s="14">
        <f>SUMPRODUCT(('Sales Data'!$F$2:$F$851)*(MONTH('Sales Data'!$B$2:$B$851)=1))</f>
        <v>41463.679999999993</v>
      </c>
      <c r="D27" s="14">
        <f>SUMPRODUCT(('Sales Data'!$G$2:$G$851)*(MONTH('Sales Data'!$B$2:$B$851)=1))</f>
        <v>12137.720000000003</v>
      </c>
    </row>
    <row r="28" spans="2:5" x14ac:dyDescent="0.3">
      <c r="B28" s="7" t="s">
        <v>1208</v>
      </c>
      <c r="C28" s="14">
        <f>SUMPRODUCT(('Sales Data'!$F$2:$F$851)*(MONTH('Sales Data'!$B$2:$B$851)=2))</f>
        <v>49078.130000000005</v>
      </c>
      <c r="D28" s="14">
        <f>SUMPRODUCT(('Sales Data'!$G$2:$G$851)*(MONTH('Sales Data'!$B$2:$B$851)=2))</f>
        <v>15390.460000000005</v>
      </c>
    </row>
    <row r="29" spans="2:5" x14ac:dyDescent="0.3">
      <c r="B29" s="7" t="s">
        <v>1209</v>
      </c>
      <c r="C29" s="14">
        <f>SUMPRODUCT(('Sales Data'!$F$2:$F$851)*(MONTH('Sales Data'!$B$2:$B$851)=3))</f>
        <v>60837.36000000003</v>
      </c>
      <c r="D29" s="14">
        <f>SUMPRODUCT(('Sales Data'!$G$2:$G$851)*(MONTH('Sales Data'!$B$2:$B$851)=3))</f>
        <v>19540.36</v>
      </c>
    </row>
    <row r="30" spans="2:5" x14ac:dyDescent="0.3">
      <c r="B30" s="7" t="s">
        <v>1210</v>
      </c>
      <c r="C30" s="14">
        <f>SUMPRODUCT(('Sales Data'!$F$2:$F$851)*(MONTH('Sales Data'!$B$2:$B$851)=4))</f>
        <v>61162.970000000023</v>
      </c>
      <c r="D30" s="14">
        <f>SUMPRODUCT(('Sales Data'!$G$2:$G$851)*(MONTH('Sales Data'!$B$2:$B$851)=4))</f>
        <v>18841.649999999998</v>
      </c>
    </row>
    <row r="31" spans="2:5" x14ac:dyDescent="0.3">
      <c r="B31" s="7" t="s">
        <v>1211</v>
      </c>
      <c r="C31" s="14">
        <f>SUMPRODUCT(('Sales Data'!$F$2:$F$851)*(MONTH('Sales Data'!$B$2:$B$851)=5))</f>
        <v>51164.37999999999</v>
      </c>
      <c r="D31" s="14">
        <f>SUMPRODUCT(('Sales Data'!$G$2:$G$851)*(MONTH('Sales Data'!$B$2:$B$851)=5))</f>
        <v>15473.479999999994</v>
      </c>
    </row>
    <row r="32" spans="2:5" x14ac:dyDescent="0.3">
      <c r="B32" s="7" t="s">
        <v>1212</v>
      </c>
      <c r="C32" s="14">
        <f>SUMPRODUCT(('Sales Data'!$F$2:$F$851)*(MONTH('Sales Data'!$B$2:$B$851)=6))</f>
        <v>60837.29</v>
      </c>
      <c r="D32" s="14">
        <f>SUMPRODUCT(('Sales Data'!$G$2:$G$851)*(MONTH('Sales Data'!$B$2:$B$851)=6))</f>
        <v>18995.82</v>
      </c>
    </row>
    <row r="33" spans="2:5" x14ac:dyDescent="0.3">
      <c r="B33" s="7" t="s">
        <v>1213</v>
      </c>
      <c r="C33" s="14">
        <f>SUMPRODUCT(('Sales Data'!$F$2:$F$851)*(MONTH('Sales Data'!$B$2:$B$851)=7))</f>
        <v>32762.880000000005</v>
      </c>
      <c r="D33" s="14">
        <f>SUMPRODUCT(('Sales Data'!$G$2:$G$851)*(MONTH('Sales Data'!$B$2:$B$851)=7))</f>
        <v>10303.310000000003</v>
      </c>
    </row>
    <row r="34" spans="2:5" x14ac:dyDescent="0.3">
      <c r="B34" s="7" t="s">
        <v>1214</v>
      </c>
      <c r="C34" s="14">
        <f>SUMPRODUCT(('Sales Data'!$F$2:$F$851)*(MONTH('Sales Data'!$B$2:$B$851)=8))</f>
        <v>60321.280000000021</v>
      </c>
      <c r="D34" s="14">
        <f>SUMPRODUCT(('Sales Data'!$G$2:$G$851)*(MONTH('Sales Data'!$B$2:$B$851)=8))</f>
        <v>21148.359999999997</v>
      </c>
    </row>
    <row r="35" spans="2:5" x14ac:dyDescent="0.3">
      <c r="B35" s="7" t="s">
        <v>1215</v>
      </c>
      <c r="C35" s="14">
        <f>SUMPRODUCT(('Sales Data'!$F$2:$F$851)*(MONTH('Sales Data'!$B$2:$B$851)=9))</f>
        <v>66124.540000000008</v>
      </c>
      <c r="D35" s="14">
        <f>SUMPRODUCT(('Sales Data'!$G$2:$G$851)*(MONTH('Sales Data'!$B$2:$B$851)=9))</f>
        <v>19740.419999999998</v>
      </c>
    </row>
    <row r="36" spans="2:5" x14ac:dyDescent="0.3">
      <c r="B36" s="7" t="s">
        <v>1216</v>
      </c>
      <c r="C36" s="14">
        <f>SUMPRODUCT(('Sales Data'!$F$2:$F$851)*(MONTH('Sales Data'!$B$2:$B$851)=10))</f>
        <v>53614.55999999999</v>
      </c>
      <c r="D36" s="14">
        <f>SUMPRODUCT(('Sales Data'!$G$2:$G$851)*(MONTH('Sales Data'!$B$2:$B$851)=10))</f>
        <v>17868.859999999997</v>
      </c>
    </row>
    <row r="37" spans="2:5" x14ac:dyDescent="0.3">
      <c r="B37" s="7" t="s">
        <v>1217</v>
      </c>
      <c r="C37" s="14">
        <f>SUMPRODUCT(('Sales Data'!$F$2:$F$851)*(MONTH('Sales Data'!$B$2:$B$851)=11))</f>
        <v>50917.30000000001</v>
      </c>
      <c r="D37" s="14">
        <f>SUMPRODUCT(('Sales Data'!$G$2:$G$851)*(MONTH('Sales Data'!$B$2:$B$851)=11))</f>
        <v>15164.870000000008</v>
      </c>
    </row>
    <row r="38" spans="2:5" x14ac:dyDescent="0.3">
      <c r="B38" s="7" t="s">
        <v>1218</v>
      </c>
      <c r="C38" s="14">
        <f>SUMPRODUCT(('Sales Data'!$F$2:$F$851)*(MONTH('Sales Data'!$B$2:$B$851)=12))</f>
        <v>65334.319999999992</v>
      </c>
      <c r="D38" s="14">
        <f>SUMPRODUCT(('Sales Data'!$G$2:$G$851)*(MONTH('Sales Data'!$B$2:$B$851)=12))</f>
        <v>20953.359999999997</v>
      </c>
    </row>
    <row r="41" spans="2:5" ht="15.6" x14ac:dyDescent="0.3">
      <c r="B41" s="1" t="s">
        <v>1219</v>
      </c>
      <c r="C41" s="1"/>
      <c r="D41" s="1"/>
      <c r="E41" s="1"/>
    </row>
    <row r="42" spans="2:5" x14ac:dyDescent="0.3">
      <c r="B42" s="13" t="s">
        <v>1220</v>
      </c>
      <c r="C42" s="13" t="s">
        <v>3</v>
      </c>
      <c r="D42" s="13" t="s">
        <v>1199</v>
      </c>
      <c r="E42" s="13" t="s">
        <v>1200</v>
      </c>
    </row>
    <row r="43" spans="2:5" x14ac:dyDescent="0.3">
      <c r="B43" s="7">
        <v>1</v>
      </c>
      <c r="C43" s="7" t="s">
        <v>38</v>
      </c>
      <c r="D43" s="14">
        <f>SUMIFS('Sales Data'!$F$2:$F$851,'Sales Data'!$D$2:$D$851,C43)</f>
        <v>59306.87000000001</v>
      </c>
      <c r="E43" s="14">
        <f>SUMIFS('Sales Data'!$G$2:$G$851,'Sales Data'!$D$2:$D$851,C43)</f>
        <v>16123.710000000003</v>
      </c>
    </row>
    <row r="44" spans="2:5" x14ac:dyDescent="0.3">
      <c r="B44" s="7">
        <v>2</v>
      </c>
      <c r="C44" s="7" t="s">
        <v>112</v>
      </c>
      <c r="D44" s="14">
        <f>SUMIFS('Sales Data'!$F$2:$F$851,'Sales Data'!$D$2:$D$851,C44)</f>
        <v>58616.819999999985</v>
      </c>
      <c r="E44" s="14">
        <f>SUMIFS('Sales Data'!$G$2:$G$851,'Sales Data'!$D$2:$D$851,C44)</f>
        <v>20219.469999999998</v>
      </c>
    </row>
    <row r="45" spans="2:5" x14ac:dyDescent="0.3">
      <c r="B45" s="7">
        <v>3</v>
      </c>
      <c r="C45" s="7" t="s">
        <v>60</v>
      </c>
      <c r="D45" s="14">
        <f>SUMIFS('Sales Data'!$F$2:$F$851,'Sales Data'!$D$2:$D$851,C45)</f>
        <v>56713.379999999983</v>
      </c>
      <c r="E45" s="14">
        <f>SUMIFS('Sales Data'!$G$2:$G$851,'Sales Data'!$D$2:$D$851,C45)</f>
        <v>23439.3</v>
      </c>
    </row>
    <row r="46" spans="2:5" x14ac:dyDescent="0.3">
      <c r="B46" s="7">
        <v>4</v>
      </c>
      <c r="C46" s="7" t="s">
        <v>85</v>
      </c>
      <c r="D46" s="14">
        <f>SUMIFS('Sales Data'!$F$2:$F$851,'Sales Data'!$D$2:$D$851,C46)</f>
        <v>53113.089999999989</v>
      </c>
      <c r="E46" s="14">
        <f>SUMIFS('Sales Data'!$G$2:$G$851,'Sales Data'!$D$2:$D$851,C46)</f>
        <v>23045.299999999996</v>
      </c>
    </row>
    <row r="47" spans="2:5" x14ac:dyDescent="0.3">
      <c r="B47" s="7">
        <v>5</v>
      </c>
      <c r="C47" s="7" t="s">
        <v>13</v>
      </c>
      <c r="D47" s="14">
        <f>SUMIFS('Sales Data'!$F$2:$F$851,'Sales Data'!$D$2:$D$851,C47)</f>
        <v>47787.529999999984</v>
      </c>
      <c r="E47" s="14">
        <f>SUMIFS('Sales Data'!$G$2:$G$851,'Sales Data'!$D$2:$D$851,C47)</f>
        <v>12372.679999999998</v>
      </c>
    </row>
    <row r="48" spans="2:5" x14ac:dyDescent="0.3">
      <c r="B48" s="7">
        <v>6</v>
      </c>
      <c r="C48" s="7" t="s">
        <v>34</v>
      </c>
      <c r="D48" s="14">
        <f>SUMIFS('Sales Data'!$F$2:$F$851,'Sales Data'!$D$2:$D$851,C48)</f>
        <v>46076.75</v>
      </c>
      <c r="E48" s="14">
        <f>SUMIFS('Sales Data'!$G$2:$G$851,'Sales Data'!$D$2:$D$851,C48)</f>
        <v>10726.219999999998</v>
      </c>
    </row>
    <row r="49" spans="2:5" x14ac:dyDescent="0.3">
      <c r="B49" s="7">
        <v>7</v>
      </c>
      <c r="C49" s="7" t="s">
        <v>17</v>
      </c>
      <c r="D49" s="14">
        <f>SUMIFS('Sales Data'!$F$2:$F$851,'Sales Data'!$D$2:$D$851,C49)</f>
        <v>44496.119999999995</v>
      </c>
      <c r="E49" s="14">
        <f>SUMIFS('Sales Data'!$G$2:$G$851,'Sales Data'!$D$2:$D$851,C49)</f>
        <v>11787.080000000004</v>
      </c>
    </row>
    <row r="50" spans="2:5" x14ac:dyDescent="0.3">
      <c r="B50" s="7">
        <v>8</v>
      </c>
      <c r="C50" s="7" t="s">
        <v>70</v>
      </c>
      <c r="D50" s="14">
        <f>SUMIFS('Sales Data'!$F$2:$F$851,'Sales Data'!$D$2:$D$851,C50)</f>
        <v>39711.870000000003</v>
      </c>
      <c r="E50" s="14">
        <f>SUMIFS('Sales Data'!$G$2:$G$851,'Sales Data'!$D$2:$D$851,C50)</f>
        <v>8384.6700000000019</v>
      </c>
    </row>
    <row r="51" spans="2:5" x14ac:dyDescent="0.3">
      <c r="B51" s="7">
        <v>9</v>
      </c>
      <c r="C51" s="7" t="s">
        <v>41</v>
      </c>
      <c r="D51" s="14">
        <f>SUMIFS('Sales Data'!$F$2:$F$851,'Sales Data'!$D$2:$D$851,C51)</f>
        <v>38261.85</v>
      </c>
      <c r="E51" s="14">
        <f>SUMIFS('Sales Data'!$G$2:$G$851,'Sales Data'!$D$2:$D$851,C51)</f>
        <v>16797.53</v>
      </c>
    </row>
    <row r="52" spans="2:5" x14ac:dyDescent="0.3">
      <c r="B52" s="7">
        <v>10</v>
      </c>
      <c r="C52" s="7" t="s">
        <v>27</v>
      </c>
      <c r="D52" s="14">
        <f>SUMIFS('Sales Data'!$F$2:$F$851,'Sales Data'!$D$2:$D$851,C52)</f>
        <v>36460.519999999997</v>
      </c>
      <c r="E52" s="14">
        <f>SUMIFS('Sales Data'!$G$2:$G$851,'Sales Data'!$D$2:$D$851,C52)</f>
        <v>8938.260000000002</v>
      </c>
    </row>
    <row r="55" spans="2:5" ht="15.6" x14ac:dyDescent="0.3">
      <c r="B55" s="1" t="s">
        <v>1221</v>
      </c>
      <c r="C55" s="1"/>
      <c r="D55" s="1"/>
      <c r="E55" s="1"/>
    </row>
    <row r="56" spans="2:5" x14ac:dyDescent="0.3">
      <c r="B56" s="13" t="s">
        <v>1220</v>
      </c>
      <c r="C56" s="13" t="s">
        <v>3</v>
      </c>
      <c r="D56" s="13" t="s">
        <v>1199</v>
      </c>
      <c r="E56" s="13" t="s">
        <v>1200</v>
      </c>
    </row>
    <row r="57" spans="2:5" x14ac:dyDescent="0.3">
      <c r="B57" s="7">
        <v>1</v>
      </c>
      <c r="C57" s="7" t="s">
        <v>23</v>
      </c>
      <c r="D57" s="14">
        <f>SUMIFS('Sales Data'!$F$2:$F$851,'Sales Data'!$D$2:$D$851,C57)</f>
        <v>17369.96</v>
      </c>
      <c r="E57" s="14">
        <f>SUMIFS('Sales Data'!$G$2:$G$851,'Sales Data'!$D$2:$D$851,C57)</f>
        <v>4914.9599999999991</v>
      </c>
    </row>
    <row r="58" spans="2:5" x14ac:dyDescent="0.3">
      <c r="B58" s="7">
        <v>2</v>
      </c>
      <c r="C58" s="7" t="s">
        <v>54</v>
      </c>
      <c r="D58" s="14">
        <f>SUMIFS('Sales Data'!$F$2:$F$851,'Sales Data'!$D$2:$D$851,C58)</f>
        <v>15501.779999999997</v>
      </c>
      <c r="E58" s="14">
        <f>SUMIFS('Sales Data'!$G$2:$G$851,'Sales Data'!$D$2:$D$851,C58)</f>
        <v>5830.18</v>
      </c>
    </row>
    <row r="59" spans="2:5" x14ac:dyDescent="0.3">
      <c r="B59" s="7">
        <v>3</v>
      </c>
      <c r="C59" s="7" t="s">
        <v>43</v>
      </c>
      <c r="D59" s="14">
        <f>SUMIFS('Sales Data'!$F$2:$F$851,'Sales Data'!$D$2:$D$851,C59)</f>
        <v>11234.570000000002</v>
      </c>
      <c r="E59" s="14">
        <f>SUMIFS('Sales Data'!$G$2:$G$851,'Sales Data'!$D$2:$D$851,C59)</f>
        <v>2832.0500000000006</v>
      </c>
    </row>
    <row r="60" spans="2:5" x14ac:dyDescent="0.3">
      <c r="B60" s="7">
        <v>4</v>
      </c>
      <c r="C60" s="7" t="s">
        <v>50</v>
      </c>
      <c r="D60" s="14">
        <f>SUMIFS('Sales Data'!$F$2:$F$851,'Sales Data'!$D$2:$D$851,C60)</f>
        <v>5214.5300000000016</v>
      </c>
      <c r="E60" s="14">
        <f>SUMIFS('Sales Data'!$G$2:$G$851,'Sales Data'!$D$2:$D$851,C60)</f>
        <v>2153.6000000000004</v>
      </c>
    </row>
    <row r="61" spans="2:5" x14ac:dyDescent="0.3">
      <c r="B61" s="7">
        <v>5</v>
      </c>
      <c r="C61" s="7" t="s">
        <v>254</v>
      </c>
      <c r="D61" s="14">
        <f>SUMIFS('Sales Data'!$F$2:$F$851,'Sales Data'!$D$2:$D$851,C61)</f>
        <v>1392</v>
      </c>
      <c r="E61" s="14">
        <f>SUMIFS('Sales Data'!$G$2:$G$851,'Sales Data'!$D$2:$D$851,C61)</f>
        <v>512.17000000000019</v>
      </c>
    </row>
  </sheetData>
  <mergeCells count="13">
    <mergeCell ref="B9:E9"/>
    <mergeCell ref="B17:E17"/>
    <mergeCell ref="B25:D25"/>
    <mergeCell ref="B41:E41"/>
    <mergeCell ref="B55:E55"/>
    <mergeCell ref="B5:C5"/>
    <mergeCell ref="E5:F5"/>
    <mergeCell ref="H5:I5"/>
    <mergeCell ref="K5:L5"/>
    <mergeCell ref="B6:C6"/>
    <mergeCell ref="E6:F6"/>
    <mergeCell ref="H6:I6"/>
    <mergeCell ref="K6:L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showGridLines="0" topLeftCell="B1" zoomScaleNormal="100" workbookViewId="0">
      <selection activeCell="K24" sqref="K24"/>
    </sheetView>
  </sheetViews>
  <sheetFormatPr defaultColWidth="8.6640625" defaultRowHeight="14.4" x14ac:dyDescent="0.3"/>
  <sheetData>
    <row r="2" spans="2:2" ht="21" x14ac:dyDescent="0.4">
      <c r="B2" s="11" t="s">
        <v>1222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KPI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Maity</cp:lastModifiedBy>
  <cp:revision>1</cp:revision>
  <dcterms:created xsi:type="dcterms:W3CDTF">2026-09-18T05:46:18Z</dcterms:created>
  <dcterms:modified xsi:type="dcterms:W3CDTF">2026-09-18T05:57:53Z</dcterms:modified>
  <dc:language>en-US</dc:language>
</cp:coreProperties>
</file>